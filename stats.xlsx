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qmulprod-my.sharepoint.com/personal/exx866_qmul_ac_uk/Documents/Papers/Instance-aware parameter tuning/"/>
    </mc:Choice>
  </mc:AlternateContent>
  <xr:revisionPtr revIDLastSave="572" documentId="13_ncr:1_{54CF6A53-3025-4E44-85AC-E0AAAC1A3C5F}" xr6:coauthVersionLast="47" xr6:coauthVersionMax="47" xr10:uidLastSave="{61E79C24-10AE-6E4A-9DF6-A483C6745D50}"/>
  <bookViews>
    <workbookView xWindow="160" yWindow="600" windowWidth="38100" windowHeight="19320" activeTab="1" xr2:uid="{3D9B0154-EC71-DB4E-950F-6114A27148A1}"/>
  </bookViews>
  <sheets>
    <sheet name="Basic info" sheetId="1" r:id="rId1"/>
    <sheet name="Instance-specific" sheetId="2" r:id="rId2"/>
    <sheet name="Predicted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5" i="3" l="1"/>
  <c r="E22" i="3"/>
  <c r="E19" i="3"/>
  <c r="E16" i="3"/>
  <c r="E13" i="3"/>
  <c r="E10" i="3"/>
  <c r="E7" i="3"/>
  <c r="E4" i="3"/>
  <c r="G25" i="3"/>
  <c r="G22" i="3"/>
  <c r="G19" i="3"/>
  <c r="G16" i="3"/>
  <c r="G13" i="3"/>
  <c r="G10" i="3"/>
  <c r="G7" i="3"/>
  <c r="G4" i="3"/>
  <c r="R14" i="2"/>
  <c r="R17" i="2"/>
  <c r="R23" i="2"/>
  <c r="R29" i="2"/>
  <c r="R56" i="2"/>
  <c r="R59" i="2"/>
  <c r="R62" i="2"/>
  <c r="R68" i="2"/>
  <c r="R77" i="2"/>
  <c r="R83" i="2"/>
  <c r="R11" i="2"/>
  <c r="R8" i="2"/>
  <c r="P14" i="2"/>
  <c r="P17" i="2"/>
  <c r="P20" i="2"/>
  <c r="P23" i="2"/>
  <c r="P26" i="2"/>
  <c r="P29" i="2"/>
  <c r="P32" i="2"/>
  <c r="P35" i="2"/>
  <c r="P38" i="2"/>
  <c r="P41" i="2"/>
  <c r="P44" i="2"/>
  <c r="P47" i="2"/>
  <c r="P50" i="2"/>
  <c r="P53" i="2"/>
  <c r="P56" i="2"/>
  <c r="P59" i="2"/>
  <c r="P62" i="2"/>
  <c r="P65" i="2"/>
  <c r="P68" i="2"/>
  <c r="P71" i="2"/>
  <c r="P74" i="2"/>
  <c r="P77" i="2"/>
  <c r="P80" i="2"/>
  <c r="P83" i="2"/>
  <c r="P86" i="2"/>
  <c r="P89" i="2"/>
  <c r="P92" i="2"/>
  <c r="P95" i="2"/>
  <c r="P98" i="2"/>
  <c r="P101" i="2"/>
  <c r="P104" i="2"/>
  <c r="P107" i="2"/>
  <c r="P110" i="2"/>
  <c r="P113" i="2"/>
  <c r="P116" i="2"/>
  <c r="P119" i="2"/>
  <c r="P122" i="2"/>
  <c r="P125" i="2"/>
  <c r="P11" i="2"/>
  <c r="P8" i="2"/>
  <c r="P5" i="2"/>
  <c r="R5" i="2"/>
  <c r="F53" i="2"/>
  <c r="F50" i="2"/>
  <c r="F47" i="2"/>
  <c r="F44" i="2"/>
  <c r="F41" i="2"/>
  <c r="F38" i="2"/>
  <c r="F35" i="2"/>
  <c r="F32" i="2"/>
  <c r="F29" i="2"/>
  <c r="F26" i="2"/>
  <c r="F23" i="2"/>
  <c r="F20" i="2"/>
  <c r="F17" i="2"/>
  <c r="F14" i="2"/>
  <c r="F11" i="2"/>
  <c r="F8" i="2"/>
  <c r="F5" i="2"/>
  <c r="I42" i="1"/>
  <c r="I34" i="1"/>
  <c r="I35" i="1"/>
  <c r="I36" i="1"/>
  <c r="I37" i="1"/>
  <c r="I38" i="1"/>
  <c r="I39" i="1"/>
  <c r="I40" i="1"/>
  <c r="I41" i="1"/>
  <c r="I25" i="1"/>
  <c r="I26" i="1"/>
  <c r="I27" i="1"/>
  <c r="I28" i="1"/>
  <c r="I29" i="1"/>
  <c r="I30" i="1"/>
  <c r="I31" i="1"/>
  <c r="I32" i="1"/>
  <c r="I33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3" i="1"/>
  <c r="I4" i="1"/>
  <c r="I5" i="1"/>
  <c r="I6" i="1"/>
  <c r="I7" i="1"/>
  <c r="I8" i="1"/>
  <c r="I2" i="1"/>
</calcChain>
</file>

<file path=xl/sharedStrings.xml><?xml version="1.0" encoding="utf-8"?>
<sst xmlns="http://schemas.openxmlformats.org/spreadsheetml/2006/main" count="453" uniqueCount="76">
  <si>
    <t>#customers</t>
  </si>
  <si>
    <t>#stations</t>
  </si>
  <si>
    <t>#depot</t>
  </si>
  <si>
    <t>#vehicles</t>
  </si>
  <si>
    <t>h</t>
  </si>
  <si>
    <t>UB</t>
  </si>
  <si>
    <t>E-n22-k4</t>
  </si>
  <si>
    <t>E-n23-k3</t>
  </si>
  <si>
    <t>E-n30-k3</t>
  </si>
  <si>
    <t>E-n33-k4</t>
  </si>
  <si>
    <t>E-n51-k5</t>
  </si>
  <si>
    <t>E-n76-k7</t>
  </si>
  <si>
    <t>E-n101-k8</t>
  </si>
  <si>
    <t>X-n143-k7</t>
  </si>
  <si>
    <t>X-n214-k11</t>
  </si>
  <si>
    <t>X-n351-k40</t>
  </si>
  <si>
    <t>X-n459-k26</t>
  </si>
  <si>
    <t>X-n573-k30</t>
  </si>
  <si>
    <t>X-n685-k75</t>
  </si>
  <si>
    <t>X-n749-k98</t>
  </si>
  <si>
    <t>X-n819-k171</t>
  </si>
  <si>
    <t>X-n916-k207</t>
  </si>
  <si>
    <t>X-n1001-k43</t>
  </si>
  <si>
    <t>E-n29-k4-s7</t>
  </si>
  <si>
    <t>E-n30-k3-s7</t>
  </si>
  <si>
    <t>E-n35-k3-s5</t>
  </si>
  <si>
    <t>E-n37-k4-s4</t>
  </si>
  <si>
    <t>E-n60-k5-s9</t>
  </si>
  <si>
    <t>E-n89-k7-s13</t>
  </si>
  <si>
    <t>E-n112-k8-s11</t>
  </si>
  <si>
    <t>M-n110-k10-s9</t>
  </si>
  <si>
    <t>M-n126-k7-s5</t>
  </si>
  <si>
    <t>M-n163-k12-s12</t>
  </si>
  <si>
    <t>M-n212-k16-s12</t>
  </si>
  <si>
    <t>F-n49-k4-s4</t>
  </si>
  <si>
    <t>F-n80-k4-s8</t>
  </si>
  <si>
    <t>F-n140-k5-s5</t>
  </si>
  <si>
    <t>X-n147-k7-s4</t>
  </si>
  <si>
    <t>X-n221-k11-s7</t>
  </si>
  <si>
    <t>X-n360-k40-s9</t>
  </si>
  <si>
    <t>X-n469-k26-s10</t>
  </si>
  <si>
    <t>X-n577-k30-s4</t>
  </si>
  <si>
    <t>X-n698-k75-s13</t>
  </si>
  <si>
    <t>X-n759-k98-s10</t>
  </si>
  <si>
    <t>X-n830-k171-s11</t>
  </si>
  <si>
    <t>X-n920-k207-s4</t>
  </si>
  <si>
    <t>X-n1006-k43-s5</t>
  </si>
  <si>
    <t>C</t>
  </si>
  <si>
    <t>Q</t>
  </si>
  <si>
    <t>maxEvals</t>
  </si>
  <si>
    <t>Instances</t>
  </si>
  <si>
    <t>Index</t>
  </si>
  <si>
    <t>BKS</t>
  </si>
  <si>
    <t>b-LAHC</t>
  </si>
  <si>
    <t>Gap</t>
  </si>
  <si>
    <t>Time (s)</t>
  </si>
  <si>
    <t>5723, 60, 1.01, 0.95-1.05</t>
  </si>
  <si>
    <t>best</t>
  </si>
  <si>
    <t>mean</t>
  </si>
  <si>
    <t>std.</t>
  </si>
  <si>
    <t>3/7 achieve state-of-the-art performance on small instances</t>
  </si>
  <si>
    <t>2 achieve state-of-the-art performance, 10 breaks the records</t>
  </si>
  <si>
    <t>9/10 achieve state-of-the-art performance on large instances</t>
  </si>
  <si>
    <t>P1</t>
  </si>
  <si>
    <t>P2</t>
  </si>
  <si>
    <t>Baseline</t>
  </si>
  <si>
    <t>Instance-specific parameter tuning</t>
  </si>
  <si>
    <t>Instance name</t>
  </si>
  <si>
    <t>Gap (b-LAHC vs BKS)</t>
  </si>
  <si>
    <t>Baseline (his_len=5723 max_attempts=60)</t>
  </si>
  <si>
    <t>Predicted performance</t>
  </si>
  <si>
    <t>Instance-specific tuning (IRACE)</t>
  </si>
  <si>
    <t>Obj</t>
  </si>
  <si>
    <t>Mode selection</t>
  </si>
  <si>
    <t>b-LAHC repeat (Baseline)</t>
  </si>
  <si>
    <t>his_len= max_attempts=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</si>
</sst>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 x14ac:knownFonts="1">
    <font>
      <sz val="12"/>
      <color theme="1"/>
      <name val="Aptos Narrow"/>
      <family val="2"/>
      <scheme val="minor"/>
    </font>
    <font>
      <sz val="14"/>
      <color theme="1"/>
      <name val="Times New Roman"/>
      <family val="1"/>
    </font>
    <font>
      <sz val="12"/>
      <color theme="1"/>
      <name val="Aptos Narrow"/>
      <family val="2"/>
      <scheme val="minor"/>
    </font>
    <font>
      <b/>
      <sz val="14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22">
    <xf numFmtId="0" fontId="0" fillId="0" borderId="0" xfId="0"/>
    <xf numFmtId="0" fontId="1" fillId="0" borderId="0" xfId="0" applyFont="1" applyAlignment="1">
      <alignment horizontal="center" vertical="top"/>
    </xf>
    <xf numFmtId="164" fontId="1" fillId="0" borderId="0" xfId="0" applyNumberFormat="1" applyFont="1" applyAlignment="1">
      <alignment horizontal="center" vertical="top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2" fontId="1" fillId="2" borderId="0" xfId="0" applyNumberFormat="1" applyFont="1" applyFill="1" applyAlignment="1">
      <alignment horizontal="center" vertical="center" wrapText="1"/>
    </xf>
    <xf numFmtId="2" fontId="3" fillId="0" borderId="0" xfId="0" applyNumberFormat="1" applyFont="1" applyAlignment="1">
      <alignment horizontal="center" vertical="center"/>
    </xf>
    <xf numFmtId="10" fontId="1" fillId="0" borderId="0" xfId="1" applyNumberFormat="1" applyFont="1" applyAlignment="1">
      <alignment horizontal="center" vertical="center" wrapText="1"/>
    </xf>
    <xf numFmtId="0" fontId="1" fillId="0" borderId="0" xfId="0" applyFont="1" applyAlignment="1">
      <alignment vertical="center"/>
    </xf>
    <xf numFmtId="2" fontId="1" fillId="0" borderId="0" xfId="0" applyNumberFormat="1" applyFont="1" applyAlignment="1">
      <alignment vertical="center"/>
    </xf>
    <xf numFmtId="0" fontId="1" fillId="0" borderId="0" xfId="0" applyFont="1"/>
    <xf numFmtId="2" fontId="1" fillId="0" borderId="0" xfId="0" applyNumberFormat="1" applyFont="1" applyAlignment="1">
      <alignment vertical="center" wrapText="1"/>
    </xf>
    <xf numFmtId="2" fontId="1" fillId="3" borderId="0" xfId="0" applyNumberFormat="1" applyFont="1" applyFill="1" applyAlignment="1">
      <alignment horizontal="center" vertical="center"/>
    </xf>
    <xf numFmtId="10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2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2">
    <cellStyle name="Normal" xfId="0" builtinId="0"/>
    <cellStyle name="Per 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F03B60-6448-1641-B00E-28BDD2974A22}">
  <dimension ref="A1:J42"/>
  <sheetViews>
    <sheetView zoomScale="130" zoomScaleNormal="130" workbookViewId="0">
      <selection activeCell="K12" sqref="K12"/>
    </sheetView>
  </sheetViews>
  <sheetFormatPr baseColWidth="10" defaultRowHeight="16" x14ac:dyDescent="0.2"/>
  <cols>
    <col min="1" max="1" width="23.1640625" customWidth="1"/>
    <col min="2" max="2" width="12.33203125" customWidth="1"/>
    <col min="6" max="6" width="12.6640625" customWidth="1"/>
    <col min="7" max="7" width="11.33203125" customWidth="1"/>
    <col min="9" max="9" width="14.1640625" customWidth="1"/>
  </cols>
  <sheetData>
    <row r="1" spans="1:10" ht="42" customHeight="1" x14ac:dyDescent="0.2">
      <c r="A1" s="8" t="s">
        <v>67</v>
      </c>
      <c r="B1" s="4" t="s">
        <v>0</v>
      </c>
      <c r="C1" s="4" t="s">
        <v>1</v>
      </c>
      <c r="D1" s="4" t="s">
        <v>2</v>
      </c>
      <c r="E1" s="4" t="s">
        <v>3</v>
      </c>
      <c r="F1" s="4" t="s">
        <v>47</v>
      </c>
      <c r="G1" s="4" t="s">
        <v>48</v>
      </c>
      <c r="H1" s="4" t="s">
        <v>4</v>
      </c>
      <c r="I1" s="8" t="s">
        <v>49</v>
      </c>
      <c r="J1" s="4" t="s">
        <v>5</v>
      </c>
    </row>
    <row r="2" spans="1:10" ht="18" x14ac:dyDescent="0.2">
      <c r="A2" s="1" t="s">
        <v>6</v>
      </c>
      <c r="B2" s="1">
        <v>21</v>
      </c>
      <c r="C2" s="1">
        <v>8</v>
      </c>
      <c r="D2" s="1">
        <v>1</v>
      </c>
      <c r="E2" s="1">
        <v>4</v>
      </c>
      <c r="F2" s="1">
        <v>6000</v>
      </c>
      <c r="G2" s="1">
        <v>94</v>
      </c>
      <c r="H2" s="1">
        <v>1.2</v>
      </c>
      <c r="I2" s="3">
        <f>(B2+C2+D2)*25000</f>
        <v>750000</v>
      </c>
      <c r="J2" s="1">
        <v>384.67</v>
      </c>
    </row>
    <row r="3" spans="1:10" ht="18" x14ac:dyDescent="0.2">
      <c r="A3" s="1" t="s">
        <v>7</v>
      </c>
      <c r="B3" s="1">
        <v>22</v>
      </c>
      <c r="C3" s="1">
        <v>9</v>
      </c>
      <c r="D3" s="1">
        <v>1</v>
      </c>
      <c r="E3" s="1">
        <v>3</v>
      </c>
      <c r="F3" s="1">
        <v>4500</v>
      </c>
      <c r="G3" s="1">
        <v>190</v>
      </c>
      <c r="H3" s="1">
        <v>1.2</v>
      </c>
      <c r="I3" s="3">
        <f t="shared" ref="I3:I41" si="0">(B3+C3+D3)*25000</f>
        <v>800000</v>
      </c>
      <c r="J3" s="1">
        <v>573.13</v>
      </c>
    </row>
    <row r="4" spans="1:10" ht="18" x14ac:dyDescent="0.2">
      <c r="A4" s="1" t="s">
        <v>8</v>
      </c>
      <c r="B4" s="1">
        <v>29</v>
      </c>
      <c r="C4" s="1">
        <v>6</v>
      </c>
      <c r="D4" s="1">
        <v>1</v>
      </c>
      <c r="E4" s="1">
        <v>4</v>
      </c>
      <c r="F4" s="1">
        <v>4500</v>
      </c>
      <c r="G4" s="1">
        <v>178</v>
      </c>
      <c r="H4" s="1">
        <v>1.2</v>
      </c>
      <c r="I4" s="3">
        <f t="shared" si="0"/>
        <v>900000</v>
      </c>
      <c r="J4" s="1">
        <v>511.25</v>
      </c>
    </row>
    <row r="5" spans="1:10" ht="18" x14ac:dyDescent="0.2">
      <c r="A5" s="1" t="s">
        <v>9</v>
      </c>
      <c r="B5" s="1">
        <v>32</v>
      </c>
      <c r="C5" s="1">
        <v>6</v>
      </c>
      <c r="D5" s="1">
        <v>1</v>
      </c>
      <c r="E5" s="1">
        <v>4</v>
      </c>
      <c r="F5" s="1">
        <v>8000</v>
      </c>
      <c r="G5" s="1">
        <v>209</v>
      </c>
      <c r="H5" s="1">
        <v>1.2</v>
      </c>
      <c r="I5" s="3">
        <f t="shared" si="0"/>
        <v>975000</v>
      </c>
      <c r="J5" s="1">
        <v>869.89</v>
      </c>
    </row>
    <row r="6" spans="1:10" ht="18" x14ac:dyDescent="0.2">
      <c r="A6" s="1" t="s">
        <v>10</v>
      </c>
      <c r="B6" s="1">
        <v>50</v>
      </c>
      <c r="C6" s="1">
        <v>5</v>
      </c>
      <c r="D6" s="1">
        <v>1</v>
      </c>
      <c r="E6" s="1">
        <v>5</v>
      </c>
      <c r="F6" s="1">
        <v>160</v>
      </c>
      <c r="G6" s="1">
        <v>105</v>
      </c>
      <c r="H6" s="1">
        <v>1.2</v>
      </c>
      <c r="I6" s="3">
        <f t="shared" si="0"/>
        <v>1400000</v>
      </c>
      <c r="J6" s="1">
        <v>570.16999999999996</v>
      </c>
    </row>
    <row r="7" spans="1:10" ht="18" x14ac:dyDescent="0.2">
      <c r="A7" s="1" t="s">
        <v>11</v>
      </c>
      <c r="B7" s="1">
        <v>75</v>
      </c>
      <c r="C7" s="1">
        <v>7</v>
      </c>
      <c r="D7" s="1">
        <v>1</v>
      </c>
      <c r="E7" s="1">
        <v>7</v>
      </c>
      <c r="F7" s="1">
        <v>220</v>
      </c>
      <c r="G7" s="1">
        <v>98</v>
      </c>
      <c r="H7" s="1">
        <v>1.2</v>
      </c>
      <c r="I7" s="3">
        <f t="shared" si="0"/>
        <v>2075000</v>
      </c>
      <c r="J7" s="1">
        <v>723.36</v>
      </c>
    </row>
    <row r="8" spans="1:10" ht="18" x14ac:dyDescent="0.2">
      <c r="A8" s="1" t="s">
        <v>12</v>
      </c>
      <c r="B8" s="1">
        <v>100</v>
      </c>
      <c r="C8" s="1">
        <v>9</v>
      </c>
      <c r="D8" s="1">
        <v>1</v>
      </c>
      <c r="E8" s="1">
        <v>8</v>
      </c>
      <c r="F8" s="1">
        <v>200</v>
      </c>
      <c r="G8" s="1">
        <v>103</v>
      </c>
      <c r="H8" s="1">
        <v>1.2</v>
      </c>
      <c r="I8" s="3">
        <f t="shared" si="0"/>
        <v>2750000</v>
      </c>
      <c r="J8" s="1">
        <v>899.88</v>
      </c>
    </row>
    <row r="9" spans="1:10" ht="18" x14ac:dyDescent="0.2">
      <c r="A9" s="1" t="s">
        <v>13</v>
      </c>
      <c r="B9" s="1">
        <v>142</v>
      </c>
      <c r="C9" s="1">
        <v>4</v>
      </c>
      <c r="D9" s="1">
        <v>1</v>
      </c>
      <c r="E9" s="1">
        <v>7</v>
      </c>
      <c r="F9" s="1">
        <v>1190</v>
      </c>
      <c r="G9" s="1">
        <v>2243</v>
      </c>
      <c r="H9" s="2">
        <v>1</v>
      </c>
      <c r="I9" s="3">
        <f t="shared" si="0"/>
        <v>3675000</v>
      </c>
      <c r="J9" s="1"/>
    </row>
    <row r="10" spans="1:10" ht="18" x14ac:dyDescent="0.2">
      <c r="A10" s="1" t="s">
        <v>14</v>
      </c>
      <c r="B10" s="1">
        <v>213</v>
      </c>
      <c r="C10" s="1">
        <v>9</v>
      </c>
      <c r="D10" s="1">
        <v>1</v>
      </c>
      <c r="E10" s="1">
        <v>11</v>
      </c>
      <c r="F10" s="1">
        <v>944</v>
      </c>
      <c r="G10" s="1">
        <v>987</v>
      </c>
      <c r="H10" s="2">
        <v>1</v>
      </c>
      <c r="I10" s="3">
        <f t="shared" si="0"/>
        <v>5575000</v>
      </c>
      <c r="J10" s="1"/>
    </row>
    <row r="11" spans="1:10" ht="18" x14ac:dyDescent="0.2">
      <c r="A11" s="1" t="s">
        <v>15</v>
      </c>
      <c r="B11" s="1">
        <v>350</v>
      </c>
      <c r="C11" s="1">
        <v>35</v>
      </c>
      <c r="D11" s="1">
        <v>1</v>
      </c>
      <c r="E11" s="1">
        <v>40</v>
      </c>
      <c r="F11" s="1">
        <v>436</v>
      </c>
      <c r="G11" s="1">
        <v>649</v>
      </c>
      <c r="H11" s="2">
        <v>1</v>
      </c>
      <c r="I11" s="3">
        <f t="shared" si="0"/>
        <v>9650000</v>
      </c>
      <c r="J11" s="1"/>
    </row>
    <row r="12" spans="1:10" ht="18" x14ac:dyDescent="0.2">
      <c r="A12" s="1" t="s">
        <v>16</v>
      </c>
      <c r="B12" s="1">
        <v>458</v>
      </c>
      <c r="C12" s="1">
        <v>20</v>
      </c>
      <c r="D12" s="1">
        <v>1</v>
      </c>
      <c r="E12" s="1">
        <v>26</v>
      </c>
      <c r="F12" s="1">
        <v>1106</v>
      </c>
      <c r="G12" s="1">
        <v>929</v>
      </c>
      <c r="H12" s="2">
        <v>1</v>
      </c>
      <c r="I12" s="3">
        <f t="shared" si="0"/>
        <v>11975000</v>
      </c>
      <c r="J12" s="1"/>
    </row>
    <row r="13" spans="1:10" ht="18" x14ac:dyDescent="0.2">
      <c r="A13" s="1" t="s">
        <v>17</v>
      </c>
      <c r="B13" s="1">
        <v>572</v>
      </c>
      <c r="C13" s="1">
        <v>6</v>
      </c>
      <c r="D13" s="1">
        <v>1</v>
      </c>
      <c r="E13" s="1">
        <v>30</v>
      </c>
      <c r="F13" s="1">
        <v>210</v>
      </c>
      <c r="G13" s="1">
        <v>1691</v>
      </c>
      <c r="H13" s="2">
        <v>1</v>
      </c>
      <c r="I13" s="3">
        <f t="shared" si="0"/>
        <v>14475000</v>
      </c>
      <c r="J13" s="1"/>
    </row>
    <row r="14" spans="1:10" ht="18" x14ac:dyDescent="0.2">
      <c r="A14" s="1" t="s">
        <v>18</v>
      </c>
      <c r="B14" s="1">
        <v>684</v>
      </c>
      <c r="C14" s="1">
        <v>25</v>
      </c>
      <c r="D14" s="1">
        <v>1</v>
      </c>
      <c r="E14" s="1">
        <v>75</v>
      </c>
      <c r="F14" s="1">
        <v>408</v>
      </c>
      <c r="G14" s="1">
        <v>911</v>
      </c>
      <c r="H14" s="2">
        <v>1</v>
      </c>
      <c r="I14" s="3">
        <f t="shared" si="0"/>
        <v>17750000</v>
      </c>
      <c r="J14" s="1"/>
    </row>
    <row r="15" spans="1:10" ht="18" x14ac:dyDescent="0.2">
      <c r="A15" s="1" t="s">
        <v>19</v>
      </c>
      <c r="B15" s="1">
        <v>748</v>
      </c>
      <c r="C15" s="1">
        <v>30</v>
      </c>
      <c r="D15" s="1">
        <v>1</v>
      </c>
      <c r="E15" s="1">
        <v>98</v>
      </c>
      <c r="F15" s="1">
        <v>396</v>
      </c>
      <c r="G15" s="1">
        <v>790</v>
      </c>
      <c r="H15" s="2">
        <v>1</v>
      </c>
      <c r="I15" s="3">
        <f t="shared" si="0"/>
        <v>19475000</v>
      </c>
      <c r="J15" s="1"/>
    </row>
    <row r="16" spans="1:10" ht="18" x14ac:dyDescent="0.2">
      <c r="A16" s="1" t="s">
        <v>20</v>
      </c>
      <c r="B16" s="1">
        <v>818</v>
      </c>
      <c r="C16" s="1">
        <v>25</v>
      </c>
      <c r="D16" s="1">
        <v>1</v>
      </c>
      <c r="E16" s="1">
        <v>171</v>
      </c>
      <c r="F16" s="1">
        <v>358</v>
      </c>
      <c r="G16" s="1">
        <v>926</v>
      </c>
      <c r="H16" s="2">
        <v>1</v>
      </c>
      <c r="I16" s="3">
        <f t="shared" si="0"/>
        <v>21100000</v>
      </c>
      <c r="J16" s="1"/>
    </row>
    <row r="17" spans="1:10" ht="18" x14ac:dyDescent="0.2">
      <c r="A17" s="1" t="s">
        <v>21</v>
      </c>
      <c r="B17" s="1">
        <v>915</v>
      </c>
      <c r="C17" s="1">
        <v>32</v>
      </c>
      <c r="D17" s="1">
        <v>1</v>
      </c>
      <c r="E17" s="1">
        <v>207</v>
      </c>
      <c r="F17" s="1">
        <v>33</v>
      </c>
      <c r="G17" s="1">
        <v>1591</v>
      </c>
      <c r="H17" s="2">
        <v>1</v>
      </c>
      <c r="I17" s="3">
        <f t="shared" si="0"/>
        <v>23700000</v>
      </c>
      <c r="J17" s="1"/>
    </row>
    <row r="18" spans="1:10" ht="18" x14ac:dyDescent="0.2">
      <c r="A18" s="1" t="s">
        <v>22</v>
      </c>
      <c r="B18" s="1">
        <v>1000</v>
      </c>
      <c r="C18" s="1">
        <v>9</v>
      </c>
      <c r="D18" s="1">
        <v>1</v>
      </c>
      <c r="E18" s="1">
        <v>43</v>
      </c>
      <c r="F18" s="1">
        <v>131</v>
      </c>
      <c r="G18" s="1">
        <v>1684</v>
      </c>
      <c r="H18" s="2">
        <v>1</v>
      </c>
      <c r="I18" s="3">
        <f t="shared" si="0"/>
        <v>25250000</v>
      </c>
      <c r="J18" s="1"/>
    </row>
    <row r="19" spans="1:10" ht="18" x14ac:dyDescent="0.2">
      <c r="A19" s="1" t="s">
        <v>23</v>
      </c>
      <c r="B19" s="1">
        <v>21</v>
      </c>
      <c r="C19" s="1">
        <v>7</v>
      </c>
      <c r="D19" s="1">
        <v>1</v>
      </c>
      <c r="E19" s="1">
        <v>4</v>
      </c>
      <c r="F19" s="1">
        <v>6000</v>
      </c>
      <c r="G19" s="1">
        <v>99</v>
      </c>
      <c r="H19" s="2">
        <v>1</v>
      </c>
      <c r="I19" s="3">
        <f t="shared" si="0"/>
        <v>725000</v>
      </c>
      <c r="J19" s="1"/>
    </row>
    <row r="20" spans="1:10" ht="18" x14ac:dyDescent="0.2">
      <c r="A20" s="1" t="s">
        <v>24</v>
      </c>
      <c r="B20" s="1">
        <v>22</v>
      </c>
      <c r="C20" s="1">
        <v>7</v>
      </c>
      <c r="D20" s="1">
        <v>1</v>
      </c>
      <c r="E20" s="1">
        <v>3</v>
      </c>
      <c r="F20" s="1">
        <v>4500</v>
      </c>
      <c r="G20" s="1">
        <v>162</v>
      </c>
      <c r="H20" s="2">
        <v>1</v>
      </c>
      <c r="I20" s="3">
        <f t="shared" si="0"/>
        <v>750000</v>
      </c>
      <c r="J20" s="1"/>
    </row>
    <row r="21" spans="1:10" ht="18" x14ac:dyDescent="0.2">
      <c r="A21" s="1" t="s">
        <v>25</v>
      </c>
      <c r="B21" s="1">
        <v>29</v>
      </c>
      <c r="C21" s="1">
        <v>5</v>
      </c>
      <c r="D21" s="1">
        <v>1</v>
      </c>
      <c r="E21" s="1">
        <v>3</v>
      </c>
      <c r="F21" s="1">
        <v>4500</v>
      </c>
      <c r="G21" s="1">
        <v>138</v>
      </c>
      <c r="H21" s="2">
        <v>1</v>
      </c>
      <c r="I21" s="3">
        <f t="shared" si="0"/>
        <v>875000</v>
      </c>
      <c r="J21" s="1"/>
    </row>
    <row r="22" spans="1:10" ht="18" x14ac:dyDescent="0.2">
      <c r="A22" s="1" t="s">
        <v>26</v>
      </c>
      <c r="B22" s="1">
        <v>32</v>
      </c>
      <c r="C22" s="1">
        <v>4</v>
      </c>
      <c r="D22" s="1">
        <v>1</v>
      </c>
      <c r="E22" s="1">
        <v>4</v>
      </c>
      <c r="F22" s="1">
        <v>8000</v>
      </c>
      <c r="G22" s="1">
        <v>238</v>
      </c>
      <c r="H22" s="2">
        <v>1</v>
      </c>
      <c r="I22" s="3">
        <f t="shared" si="0"/>
        <v>925000</v>
      </c>
      <c r="J22" s="1"/>
    </row>
    <row r="23" spans="1:10" ht="18" x14ac:dyDescent="0.2">
      <c r="A23" s="1" t="s">
        <v>27</v>
      </c>
      <c r="B23" s="1">
        <v>50</v>
      </c>
      <c r="C23" s="1">
        <v>9</v>
      </c>
      <c r="D23" s="1">
        <v>1</v>
      </c>
      <c r="E23" s="1">
        <v>5</v>
      </c>
      <c r="F23" s="1">
        <v>160</v>
      </c>
      <c r="G23" s="1">
        <v>88</v>
      </c>
      <c r="H23" s="2">
        <v>1</v>
      </c>
      <c r="I23" s="3">
        <f t="shared" si="0"/>
        <v>1500000</v>
      </c>
      <c r="J23" s="1"/>
    </row>
    <row r="24" spans="1:10" ht="18" x14ac:dyDescent="0.2">
      <c r="A24" s="1" t="s">
        <v>28</v>
      </c>
      <c r="B24" s="1">
        <v>75</v>
      </c>
      <c r="C24" s="1">
        <v>13</v>
      </c>
      <c r="D24" s="1">
        <v>1</v>
      </c>
      <c r="E24" s="1">
        <v>7</v>
      </c>
      <c r="F24" s="1">
        <v>220</v>
      </c>
      <c r="G24" s="1">
        <v>87</v>
      </c>
      <c r="H24" s="2">
        <v>1</v>
      </c>
      <c r="I24" s="3">
        <f t="shared" si="0"/>
        <v>2225000</v>
      </c>
      <c r="J24" s="1"/>
    </row>
    <row r="25" spans="1:10" ht="18" x14ac:dyDescent="0.2">
      <c r="A25" s="1" t="s">
        <v>29</v>
      </c>
      <c r="B25" s="1">
        <v>100</v>
      </c>
      <c r="C25" s="1">
        <v>11</v>
      </c>
      <c r="D25" s="1">
        <v>1</v>
      </c>
      <c r="E25" s="1">
        <v>8</v>
      </c>
      <c r="F25" s="1">
        <v>200</v>
      </c>
      <c r="G25" s="1">
        <v>100</v>
      </c>
      <c r="H25" s="2">
        <v>1</v>
      </c>
      <c r="I25" s="3">
        <f>(B25+C25+D25)*25000</f>
        <v>2800000</v>
      </c>
      <c r="J25" s="1"/>
    </row>
    <row r="26" spans="1:10" ht="18" x14ac:dyDescent="0.2">
      <c r="A26" s="1" t="s">
        <v>30</v>
      </c>
      <c r="B26" s="1">
        <v>100</v>
      </c>
      <c r="C26" s="1">
        <v>9</v>
      </c>
      <c r="D26" s="1">
        <v>1</v>
      </c>
      <c r="E26" s="1">
        <v>10</v>
      </c>
      <c r="F26" s="1">
        <v>200</v>
      </c>
      <c r="G26" s="1">
        <v>118</v>
      </c>
      <c r="H26" s="2">
        <v>1</v>
      </c>
      <c r="I26" s="3">
        <f t="shared" si="0"/>
        <v>2750000</v>
      </c>
      <c r="J26" s="1"/>
    </row>
    <row r="27" spans="1:10" ht="18" x14ac:dyDescent="0.2">
      <c r="A27" s="1" t="s">
        <v>31</v>
      </c>
      <c r="B27" s="1">
        <v>120</v>
      </c>
      <c r="C27" s="1">
        <v>5</v>
      </c>
      <c r="D27" s="1">
        <v>1</v>
      </c>
      <c r="E27" s="1">
        <v>7</v>
      </c>
      <c r="F27" s="1">
        <v>200</v>
      </c>
      <c r="G27" s="1">
        <v>199</v>
      </c>
      <c r="H27" s="2">
        <v>1</v>
      </c>
      <c r="I27" s="3">
        <f t="shared" si="0"/>
        <v>3150000</v>
      </c>
      <c r="J27" s="1"/>
    </row>
    <row r="28" spans="1:10" ht="18" x14ac:dyDescent="0.2">
      <c r="A28" s="1" t="s">
        <v>32</v>
      </c>
      <c r="B28" s="1">
        <v>150</v>
      </c>
      <c r="C28" s="1">
        <v>12</v>
      </c>
      <c r="D28" s="1">
        <v>1</v>
      </c>
      <c r="E28" s="1">
        <v>12</v>
      </c>
      <c r="F28" s="1">
        <v>200</v>
      </c>
      <c r="G28" s="1">
        <v>100</v>
      </c>
      <c r="H28" s="2">
        <v>1</v>
      </c>
      <c r="I28" s="3">
        <f t="shared" si="0"/>
        <v>4075000</v>
      </c>
      <c r="J28" s="1"/>
    </row>
    <row r="29" spans="1:10" ht="18" x14ac:dyDescent="0.2">
      <c r="A29" s="1" t="s">
        <v>33</v>
      </c>
      <c r="B29" s="1">
        <v>199</v>
      </c>
      <c r="C29" s="1">
        <v>12</v>
      </c>
      <c r="D29" s="1">
        <v>1</v>
      </c>
      <c r="E29" s="1">
        <v>16</v>
      </c>
      <c r="F29" s="1">
        <v>200</v>
      </c>
      <c r="G29" s="1">
        <v>100</v>
      </c>
      <c r="H29" s="2">
        <v>1</v>
      </c>
      <c r="I29" s="3">
        <f t="shared" si="0"/>
        <v>5300000</v>
      </c>
      <c r="J29" s="1"/>
    </row>
    <row r="30" spans="1:10" ht="18" x14ac:dyDescent="0.2">
      <c r="A30" s="1" t="s">
        <v>34</v>
      </c>
      <c r="B30" s="1">
        <v>44</v>
      </c>
      <c r="C30" s="1">
        <v>4</v>
      </c>
      <c r="D30" s="1">
        <v>1</v>
      </c>
      <c r="E30" s="1">
        <v>4</v>
      </c>
      <c r="F30" s="1">
        <v>2010</v>
      </c>
      <c r="G30" s="1">
        <v>260</v>
      </c>
      <c r="H30" s="2">
        <v>1</v>
      </c>
      <c r="I30" s="3">
        <f t="shared" si="0"/>
        <v>1225000</v>
      </c>
      <c r="J30" s="1"/>
    </row>
    <row r="31" spans="1:10" ht="18" x14ac:dyDescent="0.2">
      <c r="A31" s="1" t="s">
        <v>35</v>
      </c>
      <c r="B31" s="1">
        <v>71</v>
      </c>
      <c r="C31" s="1">
        <v>8</v>
      </c>
      <c r="D31" s="1">
        <v>1</v>
      </c>
      <c r="E31" s="1">
        <v>4</v>
      </c>
      <c r="F31" s="1">
        <v>30000</v>
      </c>
      <c r="G31" s="1">
        <v>53</v>
      </c>
      <c r="H31" s="2">
        <v>1</v>
      </c>
      <c r="I31" s="3">
        <f t="shared" si="0"/>
        <v>2000000</v>
      </c>
      <c r="J31" s="1"/>
    </row>
    <row r="32" spans="1:10" ht="18" x14ac:dyDescent="0.2">
      <c r="A32" s="1" t="s">
        <v>36</v>
      </c>
      <c r="B32" s="1">
        <v>134</v>
      </c>
      <c r="C32" s="1">
        <v>5</v>
      </c>
      <c r="D32" s="1">
        <v>1</v>
      </c>
      <c r="E32" s="1">
        <v>5</v>
      </c>
      <c r="F32" s="1">
        <v>2210</v>
      </c>
      <c r="G32" s="1">
        <v>307</v>
      </c>
      <c r="H32" s="2">
        <v>1</v>
      </c>
      <c r="I32" s="3">
        <f t="shared" si="0"/>
        <v>3500000</v>
      </c>
      <c r="J32" s="1"/>
    </row>
    <row r="33" spans="1:10" ht="18" x14ac:dyDescent="0.2">
      <c r="A33" s="1" t="s">
        <v>37</v>
      </c>
      <c r="B33" s="1">
        <v>142</v>
      </c>
      <c r="C33" s="1">
        <v>4</v>
      </c>
      <c r="D33" s="1">
        <v>1</v>
      </c>
      <c r="E33" s="1">
        <v>7</v>
      </c>
      <c r="F33" s="1">
        <v>1190</v>
      </c>
      <c r="G33" s="1">
        <v>2762</v>
      </c>
      <c r="H33" s="2">
        <v>1</v>
      </c>
      <c r="I33" s="3">
        <f t="shared" si="0"/>
        <v>3675000</v>
      </c>
      <c r="J33" s="1"/>
    </row>
    <row r="34" spans="1:10" ht="18" x14ac:dyDescent="0.2">
      <c r="A34" s="1" t="s">
        <v>38</v>
      </c>
      <c r="B34" s="1">
        <v>213</v>
      </c>
      <c r="C34" s="1">
        <v>7</v>
      </c>
      <c r="D34" s="1">
        <v>1</v>
      </c>
      <c r="E34" s="1">
        <v>11</v>
      </c>
      <c r="F34" s="1">
        <v>944</v>
      </c>
      <c r="G34" s="1">
        <v>1204</v>
      </c>
      <c r="H34" s="2">
        <v>1</v>
      </c>
      <c r="I34" s="3">
        <f>(B34+C34+D34)*25000</f>
        <v>5525000</v>
      </c>
      <c r="J34" s="1"/>
    </row>
    <row r="35" spans="1:10" ht="18" x14ac:dyDescent="0.2">
      <c r="A35" s="1" t="s">
        <v>39</v>
      </c>
      <c r="B35" s="1">
        <v>350</v>
      </c>
      <c r="C35" s="1">
        <v>9</v>
      </c>
      <c r="D35" s="1">
        <v>1</v>
      </c>
      <c r="E35" s="1">
        <v>40</v>
      </c>
      <c r="F35" s="1">
        <v>436</v>
      </c>
      <c r="G35" s="1">
        <v>1236</v>
      </c>
      <c r="H35" s="2">
        <v>1</v>
      </c>
      <c r="I35" s="3">
        <f t="shared" si="0"/>
        <v>9000000</v>
      </c>
      <c r="J35" s="1"/>
    </row>
    <row r="36" spans="1:10" ht="18" x14ac:dyDescent="0.2">
      <c r="A36" s="1" t="s">
        <v>40</v>
      </c>
      <c r="B36" s="1">
        <v>458</v>
      </c>
      <c r="C36" s="1">
        <v>10</v>
      </c>
      <c r="D36" s="1">
        <v>1</v>
      </c>
      <c r="E36" s="1">
        <v>26</v>
      </c>
      <c r="F36" s="1">
        <v>1106</v>
      </c>
      <c r="G36" s="1">
        <v>1230</v>
      </c>
      <c r="H36" s="2">
        <v>1</v>
      </c>
      <c r="I36" s="3">
        <f t="shared" si="0"/>
        <v>11725000</v>
      </c>
      <c r="J36" s="1"/>
    </row>
    <row r="37" spans="1:10" ht="18" x14ac:dyDescent="0.2">
      <c r="A37" s="1" t="s">
        <v>41</v>
      </c>
      <c r="B37" s="1">
        <v>577</v>
      </c>
      <c r="C37" s="1">
        <v>30</v>
      </c>
      <c r="D37" s="1">
        <v>1</v>
      </c>
      <c r="E37" s="1">
        <v>4</v>
      </c>
      <c r="F37" s="1">
        <v>210</v>
      </c>
      <c r="G37" s="1">
        <v>2191</v>
      </c>
      <c r="H37" s="2">
        <v>1</v>
      </c>
      <c r="I37" s="3">
        <f t="shared" si="0"/>
        <v>15200000</v>
      </c>
      <c r="J37" s="1"/>
    </row>
    <row r="38" spans="1:10" ht="18" x14ac:dyDescent="0.2">
      <c r="A38" s="1" t="s">
        <v>42</v>
      </c>
      <c r="B38" s="1">
        <v>698</v>
      </c>
      <c r="C38" s="1">
        <v>13</v>
      </c>
      <c r="D38" s="1">
        <v>1</v>
      </c>
      <c r="E38" s="1">
        <v>75</v>
      </c>
      <c r="F38" s="1">
        <v>408</v>
      </c>
      <c r="G38" s="1">
        <v>1336</v>
      </c>
      <c r="H38" s="2">
        <v>1</v>
      </c>
      <c r="I38" s="3">
        <f t="shared" si="0"/>
        <v>17800000</v>
      </c>
      <c r="J38" s="1"/>
    </row>
    <row r="39" spans="1:10" ht="18" x14ac:dyDescent="0.2">
      <c r="A39" s="1" t="s">
        <v>43</v>
      </c>
      <c r="B39" s="1">
        <v>748</v>
      </c>
      <c r="C39" s="1">
        <v>10</v>
      </c>
      <c r="D39" s="1">
        <v>1</v>
      </c>
      <c r="E39" s="1">
        <v>98</v>
      </c>
      <c r="F39" s="1">
        <v>396</v>
      </c>
      <c r="G39" s="1">
        <v>1367</v>
      </c>
      <c r="H39" s="2">
        <v>1</v>
      </c>
      <c r="I39" s="3">
        <f t="shared" si="0"/>
        <v>18975000</v>
      </c>
      <c r="J39" s="1"/>
    </row>
    <row r="40" spans="1:10" ht="18" x14ac:dyDescent="0.2">
      <c r="A40" s="1" t="s">
        <v>44</v>
      </c>
      <c r="B40" s="1">
        <v>818</v>
      </c>
      <c r="C40" s="1">
        <v>11</v>
      </c>
      <c r="D40" s="1">
        <v>1</v>
      </c>
      <c r="E40" s="1">
        <v>171</v>
      </c>
      <c r="F40" s="1">
        <v>358</v>
      </c>
      <c r="G40" s="1">
        <v>1385</v>
      </c>
      <c r="H40" s="2">
        <v>1</v>
      </c>
      <c r="I40" s="3">
        <f t="shared" si="0"/>
        <v>20750000</v>
      </c>
      <c r="J40" s="1"/>
    </row>
    <row r="41" spans="1:10" ht="18" x14ac:dyDescent="0.2">
      <c r="A41" s="1" t="s">
        <v>45</v>
      </c>
      <c r="B41" s="1">
        <v>915</v>
      </c>
      <c r="C41" s="1">
        <v>4</v>
      </c>
      <c r="D41" s="1">
        <v>1</v>
      </c>
      <c r="E41" s="1">
        <v>207</v>
      </c>
      <c r="F41" s="1">
        <v>33</v>
      </c>
      <c r="G41" s="1">
        <v>2773</v>
      </c>
      <c r="H41" s="2">
        <v>1</v>
      </c>
      <c r="I41" s="3">
        <f t="shared" si="0"/>
        <v>23000000</v>
      </c>
      <c r="J41" s="1"/>
    </row>
    <row r="42" spans="1:10" ht="18" x14ac:dyDescent="0.2">
      <c r="A42" s="1" t="s">
        <v>46</v>
      </c>
      <c r="B42" s="1">
        <v>1000</v>
      </c>
      <c r="C42" s="1">
        <v>5</v>
      </c>
      <c r="D42" s="1">
        <v>1</v>
      </c>
      <c r="E42" s="1">
        <v>43</v>
      </c>
      <c r="F42" s="1">
        <v>131</v>
      </c>
      <c r="G42" s="1">
        <v>2536</v>
      </c>
      <c r="H42" s="2">
        <v>1</v>
      </c>
      <c r="I42" s="3">
        <f>(B42+C42+D42)*25000</f>
        <v>25150000</v>
      </c>
      <c r="J42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1958A-C8CA-AC41-A746-980365513E9C}">
  <dimension ref="A1:T138"/>
  <sheetViews>
    <sheetView tabSelected="1" topLeftCell="A4" zoomScale="136" zoomScaleNormal="120" workbookViewId="0">
      <selection activeCell="H18" sqref="H18"/>
    </sheetView>
  </sheetViews>
  <sheetFormatPr baseColWidth="10" defaultRowHeight="16" x14ac:dyDescent="0.2"/>
  <cols>
    <col min="1" max="1" width="20" customWidth="1"/>
    <col min="3" max="3" width="13.83203125" customWidth="1"/>
    <col min="4" max="5" width="14.1640625" customWidth="1"/>
    <col min="6" max="6" width="15.83203125" customWidth="1"/>
    <col min="7" max="11" width="14.1640625" customWidth="1"/>
    <col min="12" max="12" width="17.1640625" customWidth="1"/>
    <col min="13" max="13" width="14.1640625" customWidth="1"/>
    <col min="14" max="14" width="18.83203125" customWidth="1"/>
    <col min="15" max="15" width="13.83203125" customWidth="1"/>
    <col min="16" max="16" width="9.5" customWidth="1"/>
    <col min="17" max="17" width="14.1640625" customWidth="1"/>
    <col min="18" max="18" width="8.1640625" customWidth="1"/>
    <col min="19" max="20" width="22" customWidth="1"/>
  </cols>
  <sheetData>
    <row r="1" spans="1:20" ht="19" x14ac:dyDescent="0.2">
      <c r="A1" s="12"/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8" t="s">
        <v>65</v>
      </c>
      <c r="O1" s="20" t="s">
        <v>66</v>
      </c>
      <c r="P1" s="20"/>
      <c r="Q1" s="20"/>
      <c r="R1" s="20"/>
      <c r="S1" s="12"/>
      <c r="T1" s="12"/>
    </row>
    <row r="2" spans="1:20" ht="62" customHeight="1" x14ac:dyDescent="0.2">
      <c r="A2" s="12"/>
      <c r="B2" s="12"/>
      <c r="C2" s="12"/>
      <c r="D2" s="12"/>
      <c r="E2" s="15"/>
      <c r="F2" s="12"/>
      <c r="G2" s="12"/>
      <c r="H2" s="12"/>
      <c r="I2" s="12"/>
      <c r="J2" s="12"/>
      <c r="K2" s="12"/>
      <c r="L2" s="18" t="s">
        <v>50</v>
      </c>
      <c r="M2" s="19" t="s">
        <v>51</v>
      </c>
      <c r="N2" s="19" t="s">
        <v>65</v>
      </c>
      <c r="O2" s="21" t="s">
        <v>75</v>
      </c>
      <c r="P2" s="21"/>
      <c r="Q2" s="21"/>
      <c r="R2" s="21"/>
      <c r="S2" s="12"/>
      <c r="T2" s="12"/>
    </row>
    <row r="3" spans="1:20" ht="77" customHeight="1" x14ac:dyDescent="0.2">
      <c r="A3" s="6" t="s">
        <v>50</v>
      </c>
      <c r="B3" s="6" t="s">
        <v>51</v>
      </c>
      <c r="C3" s="6" t="s">
        <v>52</v>
      </c>
      <c r="D3" s="9" t="s">
        <v>53</v>
      </c>
      <c r="E3" s="7" t="s">
        <v>74</v>
      </c>
      <c r="F3" s="8" t="s">
        <v>68</v>
      </c>
      <c r="G3" s="4" t="s">
        <v>55</v>
      </c>
      <c r="H3" s="21" t="s">
        <v>56</v>
      </c>
      <c r="I3" s="21"/>
      <c r="J3" s="21"/>
      <c r="K3" s="7"/>
      <c r="L3" s="18"/>
      <c r="M3" s="19"/>
      <c r="N3" s="19"/>
      <c r="O3" s="19" t="s">
        <v>63</v>
      </c>
      <c r="P3" s="19"/>
      <c r="Q3" s="19" t="s">
        <v>64</v>
      </c>
      <c r="R3" s="19"/>
      <c r="S3" s="7" t="s">
        <v>73</v>
      </c>
      <c r="T3" s="7"/>
    </row>
    <row r="4" spans="1:20" ht="18" x14ac:dyDescent="0.2">
      <c r="A4" s="18" t="s">
        <v>6</v>
      </c>
      <c r="B4" s="6" t="s">
        <v>57</v>
      </c>
      <c r="C4" s="6">
        <v>384.67</v>
      </c>
      <c r="D4" s="10">
        <v>384.67</v>
      </c>
      <c r="E4" s="6">
        <v>384.68</v>
      </c>
      <c r="F4" s="8"/>
      <c r="G4" s="6"/>
      <c r="H4" s="6"/>
      <c r="I4" s="6"/>
      <c r="J4" s="4"/>
      <c r="K4" s="10"/>
      <c r="L4" s="18" t="s">
        <v>6</v>
      </c>
      <c r="M4" s="6" t="s">
        <v>57</v>
      </c>
      <c r="N4" s="6">
        <v>384.67</v>
      </c>
      <c r="O4" s="6">
        <v>384.67</v>
      </c>
      <c r="P4" s="6"/>
      <c r="Q4" s="6">
        <v>384.67</v>
      </c>
      <c r="R4" s="6"/>
      <c r="S4" s="18" t="s">
        <v>63</v>
      </c>
      <c r="T4" s="6"/>
    </row>
    <row r="5" spans="1:20" ht="18" x14ac:dyDescent="0.2">
      <c r="A5" s="18"/>
      <c r="B5" s="6" t="s">
        <v>58</v>
      </c>
      <c r="C5" s="6">
        <v>384.67</v>
      </c>
      <c r="D5" s="6">
        <v>385.25</v>
      </c>
      <c r="E5" s="6">
        <v>385.1</v>
      </c>
      <c r="F5" s="11">
        <f>($D5-$C5)/$C5</f>
        <v>1.5077858944029534E-3</v>
      </c>
      <c r="G5" s="6">
        <v>0.26</v>
      </c>
      <c r="H5" s="6"/>
      <c r="I5" s="6"/>
      <c r="J5" s="6"/>
      <c r="K5" s="6"/>
      <c r="L5" s="18"/>
      <c r="M5" s="6" t="s">
        <v>58</v>
      </c>
      <c r="N5" s="6">
        <v>385.1</v>
      </c>
      <c r="O5" s="16">
        <v>385.25</v>
      </c>
      <c r="P5" s="11">
        <f>($O5-$N5)/$N5</f>
        <v>3.8950921838477604E-4</v>
      </c>
      <c r="Q5" s="6">
        <v>385.1</v>
      </c>
      <c r="R5" s="11">
        <f>($Q5-$N5)/$N5</f>
        <v>0</v>
      </c>
      <c r="S5" s="18"/>
      <c r="T5" s="11"/>
    </row>
    <row r="6" spans="1:20" ht="18" x14ac:dyDescent="0.2">
      <c r="A6" s="18"/>
      <c r="B6" s="6" t="s">
        <v>59</v>
      </c>
      <c r="C6" s="6"/>
      <c r="D6" s="6">
        <v>0.28000000000000003</v>
      </c>
      <c r="E6" s="6">
        <v>0.37</v>
      </c>
      <c r="F6" s="8"/>
      <c r="G6" s="6"/>
      <c r="H6" s="6"/>
      <c r="I6" s="6"/>
      <c r="J6" s="6"/>
      <c r="K6" s="6"/>
      <c r="L6" s="18"/>
      <c r="M6" s="6" t="s">
        <v>59</v>
      </c>
      <c r="N6" s="6">
        <v>0.37</v>
      </c>
      <c r="O6" s="6">
        <v>0.3</v>
      </c>
      <c r="P6" s="6"/>
      <c r="Q6" s="6">
        <v>0.37</v>
      </c>
      <c r="R6" s="6"/>
      <c r="S6" s="18"/>
      <c r="T6" s="6"/>
    </row>
    <row r="7" spans="1:20" ht="18" x14ac:dyDescent="0.2">
      <c r="A7" s="18" t="s">
        <v>7</v>
      </c>
      <c r="B7" s="6" t="s">
        <v>57</v>
      </c>
      <c r="C7" s="6">
        <v>571.94000000000005</v>
      </c>
      <c r="D7" s="10">
        <v>571.94000000000005</v>
      </c>
      <c r="E7" s="6">
        <v>571.95000000000005</v>
      </c>
      <c r="F7" s="8"/>
      <c r="G7" s="6"/>
      <c r="H7" s="6"/>
      <c r="I7" s="6"/>
      <c r="J7" s="6"/>
      <c r="K7" s="10"/>
      <c r="L7" s="18" t="s">
        <v>7</v>
      </c>
      <c r="M7" s="6" t="s">
        <v>57</v>
      </c>
      <c r="N7" s="6">
        <v>571.94000000000005</v>
      </c>
      <c r="O7" s="6">
        <v>571.94000000000005</v>
      </c>
      <c r="P7" s="6"/>
      <c r="Q7" s="6">
        <v>571.94000000000005</v>
      </c>
      <c r="R7" s="6"/>
      <c r="S7" s="18" t="s">
        <v>63</v>
      </c>
      <c r="T7" s="6"/>
    </row>
    <row r="8" spans="1:20" ht="18" x14ac:dyDescent="0.2">
      <c r="A8" s="18"/>
      <c r="B8" s="6" t="s">
        <v>58</v>
      </c>
      <c r="C8" s="6">
        <v>571.94000000000005</v>
      </c>
      <c r="D8" s="10">
        <v>571.94000000000005</v>
      </c>
      <c r="E8" s="6">
        <v>571.95000000000005</v>
      </c>
      <c r="F8" s="11">
        <f>($D8-$C8)/$C8</f>
        <v>0</v>
      </c>
      <c r="G8" s="6">
        <v>0.37</v>
      </c>
      <c r="H8" s="6"/>
      <c r="I8" s="6"/>
      <c r="J8" s="6"/>
      <c r="K8" s="10"/>
      <c r="L8" s="18"/>
      <c r="M8" s="6" t="s">
        <v>58</v>
      </c>
      <c r="N8" s="6">
        <v>571.94000000000005</v>
      </c>
      <c r="O8" s="6">
        <v>571.94000000000005</v>
      </c>
      <c r="P8" s="11">
        <f>($O8-$N8)/$N8</f>
        <v>0</v>
      </c>
      <c r="Q8" s="6">
        <v>571.94000000000005</v>
      </c>
      <c r="R8" s="11">
        <f>($Q8-$N8)/$N8</f>
        <v>0</v>
      </c>
      <c r="S8" s="18"/>
      <c r="T8" s="11"/>
    </row>
    <row r="9" spans="1:20" ht="18" x14ac:dyDescent="0.2">
      <c r="A9" s="18"/>
      <c r="B9" s="6" t="s">
        <v>59</v>
      </c>
      <c r="C9" s="6"/>
      <c r="D9" s="6">
        <v>0</v>
      </c>
      <c r="E9" s="6">
        <v>0</v>
      </c>
      <c r="F9" s="8"/>
      <c r="G9" s="6"/>
      <c r="H9" s="19" t="s">
        <v>60</v>
      </c>
      <c r="I9" s="19"/>
      <c r="J9" s="19"/>
      <c r="K9" s="6"/>
      <c r="L9" s="18"/>
      <c r="M9" s="6" t="s">
        <v>59</v>
      </c>
      <c r="N9" s="6">
        <v>0</v>
      </c>
      <c r="O9" s="6">
        <v>0</v>
      </c>
      <c r="P9" s="6"/>
      <c r="Q9" s="6">
        <v>0</v>
      </c>
      <c r="R9" s="6"/>
      <c r="S9" s="18"/>
      <c r="T9" s="6"/>
    </row>
    <row r="10" spans="1:20" ht="18" x14ac:dyDescent="0.2">
      <c r="A10" s="18" t="s">
        <v>8</v>
      </c>
      <c r="B10" s="6" t="s">
        <v>57</v>
      </c>
      <c r="C10" s="6">
        <v>509.47</v>
      </c>
      <c r="D10" s="10">
        <v>509.47</v>
      </c>
      <c r="E10" s="6">
        <v>509.47</v>
      </c>
      <c r="F10" s="8"/>
      <c r="G10" s="6"/>
      <c r="H10" s="19"/>
      <c r="I10" s="19"/>
      <c r="J10" s="19"/>
      <c r="K10" s="10"/>
      <c r="L10" s="18" t="s">
        <v>8</v>
      </c>
      <c r="M10" s="6" t="s">
        <v>57</v>
      </c>
      <c r="N10" s="6">
        <v>509.47</v>
      </c>
      <c r="O10" s="6">
        <v>509.47</v>
      </c>
      <c r="P10" s="6"/>
      <c r="Q10" s="6">
        <v>509.47</v>
      </c>
      <c r="R10" s="6"/>
      <c r="S10" s="18" t="s">
        <v>64</v>
      </c>
      <c r="T10" s="6"/>
    </row>
    <row r="11" spans="1:20" ht="18" x14ac:dyDescent="0.2">
      <c r="A11" s="18"/>
      <c r="B11" s="6" t="s">
        <v>58</v>
      </c>
      <c r="C11" s="7">
        <v>509.47</v>
      </c>
      <c r="D11" s="10">
        <v>509.47</v>
      </c>
      <c r="E11" s="6">
        <v>509.47</v>
      </c>
      <c r="F11" s="11">
        <f>($D11-$C11)/$C11</f>
        <v>0</v>
      </c>
      <c r="G11" s="4">
        <v>0.22</v>
      </c>
      <c r="H11" s="19"/>
      <c r="I11" s="19"/>
      <c r="J11" s="19"/>
      <c r="K11" s="10"/>
      <c r="L11" s="18"/>
      <c r="M11" s="6" t="s">
        <v>58</v>
      </c>
      <c r="N11" s="6">
        <v>509.47</v>
      </c>
      <c r="O11" s="16">
        <v>509.78</v>
      </c>
      <c r="P11" s="11">
        <f>($O11-$N11)/$N11</f>
        <v>6.0847547451262172E-4</v>
      </c>
      <c r="Q11" s="6">
        <v>509.47</v>
      </c>
      <c r="R11" s="11">
        <f>($Q11-$N11)/$N11</f>
        <v>0</v>
      </c>
      <c r="S11" s="18"/>
      <c r="T11" s="11"/>
    </row>
    <row r="12" spans="1:20" ht="18" x14ac:dyDescent="0.2">
      <c r="A12" s="18"/>
      <c r="B12" s="6" t="s">
        <v>59</v>
      </c>
      <c r="C12" s="6"/>
      <c r="D12" s="6">
        <v>0</v>
      </c>
      <c r="E12" s="6">
        <v>0</v>
      </c>
      <c r="F12" s="8"/>
      <c r="G12" s="6"/>
      <c r="H12" s="19"/>
      <c r="I12" s="19"/>
      <c r="J12" s="19"/>
      <c r="K12" s="6"/>
      <c r="L12" s="18"/>
      <c r="M12" s="6" t="s">
        <v>59</v>
      </c>
      <c r="N12" s="6">
        <v>0</v>
      </c>
      <c r="O12" s="6">
        <v>0.96</v>
      </c>
      <c r="P12" s="6"/>
      <c r="Q12" s="6">
        <v>0</v>
      </c>
      <c r="R12" s="6"/>
      <c r="S12" s="18"/>
      <c r="T12" s="6"/>
    </row>
    <row r="13" spans="1:20" ht="18" x14ac:dyDescent="0.2">
      <c r="A13" s="18" t="s">
        <v>9</v>
      </c>
      <c r="B13" s="6" t="s">
        <v>57</v>
      </c>
      <c r="C13" s="6">
        <v>840.14</v>
      </c>
      <c r="D13" s="10">
        <v>840.14</v>
      </c>
      <c r="E13" s="6">
        <v>840.15</v>
      </c>
      <c r="F13" s="8"/>
      <c r="G13" s="6"/>
      <c r="H13" s="19"/>
      <c r="I13" s="19"/>
      <c r="J13" s="19"/>
      <c r="K13" s="10"/>
      <c r="L13" s="18" t="s">
        <v>9</v>
      </c>
      <c r="M13" s="6" t="s">
        <v>57</v>
      </c>
      <c r="N13" s="6">
        <v>840.14</v>
      </c>
      <c r="O13" s="6">
        <v>840.14</v>
      </c>
      <c r="P13" s="6"/>
      <c r="Q13" s="6">
        <v>840.14</v>
      </c>
      <c r="R13" s="6"/>
      <c r="S13" s="18" t="s">
        <v>63</v>
      </c>
      <c r="T13" s="6"/>
    </row>
    <row r="14" spans="1:20" ht="18" x14ac:dyDescent="0.2">
      <c r="A14" s="18"/>
      <c r="B14" s="6" t="s">
        <v>58</v>
      </c>
      <c r="C14" s="6">
        <v>840.43</v>
      </c>
      <c r="D14" s="10">
        <v>840.14</v>
      </c>
      <c r="E14" s="6">
        <v>840.15</v>
      </c>
      <c r="F14" s="11">
        <f>($D14-$C14)/$C14</f>
        <v>-3.4506145663525058E-4</v>
      </c>
      <c r="G14" s="6">
        <v>0.92</v>
      </c>
      <c r="H14" s="19"/>
      <c r="I14" s="19"/>
      <c r="J14" s="19"/>
      <c r="K14" s="10"/>
      <c r="L14" s="18"/>
      <c r="M14" s="6" t="s">
        <v>58</v>
      </c>
      <c r="N14" s="6">
        <v>840.14</v>
      </c>
      <c r="O14" s="6">
        <v>840.14</v>
      </c>
      <c r="P14" s="11">
        <f t="shared" ref="P14" si="0">($O14-$N14)/$N14</f>
        <v>0</v>
      </c>
      <c r="Q14" s="6">
        <v>840.14</v>
      </c>
      <c r="R14" s="11">
        <f t="shared" ref="R14" si="1">($Q14-$N14)/$N14</f>
        <v>0</v>
      </c>
      <c r="S14" s="18"/>
      <c r="T14" s="11"/>
    </row>
    <row r="15" spans="1:20" ht="18" x14ac:dyDescent="0.2">
      <c r="A15" s="18"/>
      <c r="B15" s="6" t="s">
        <v>59</v>
      </c>
      <c r="C15" s="6"/>
      <c r="D15" s="6">
        <v>0</v>
      </c>
      <c r="E15" s="6">
        <v>0</v>
      </c>
      <c r="F15" s="8"/>
      <c r="G15" s="6"/>
      <c r="H15" s="19"/>
      <c r="I15" s="19"/>
      <c r="J15" s="19"/>
      <c r="K15" s="6"/>
      <c r="L15" s="18"/>
      <c r="M15" s="6" t="s">
        <v>59</v>
      </c>
      <c r="N15" s="6">
        <v>0</v>
      </c>
      <c r="O15" s="6">
        <v>0</v>
      </c>
      <c r="P15" s="6"/>
      <c r="Q15" s="6">
        <v>0</v>
      </c>
      <c r="R15" s="6"/>
      <c r="S15" s="18"/>
      <c r="T15" s="6"/>
    </row>
    <row r="16" spans="1:20" ht="18" x14ac:dyDescent="0.2">
      <c r="A16" s="18" t="s">
        <v>10</v>
      </c>
      <c r="B16" s="6" t="s">
        <v>57</v>
      </c>
      <c r="C16" s="7">
        <v>529.9</v>
      </c>
      <c r="D16" s="10">
        <v>529.9</v>
      </c>
      <c r="E16" s="6">
        <v>529.9</v>
      </c>
      <c r="F16" s="8"/>
      <c r="G16" s="6"/>
      <c r="H16" s="6"/>
      <c r="I16" s="6"/>
      <c r="J16" s="6"/>
      <c r="K16" s="10"/>
      <c r="L16" s="18" t="s">
        <v>10</v>
      </c>
      <c r="M16" s="6" t="s">
        <v>57</v>
      </c>
      <c r="N16" s="6">
        <v>529.9</v>
      </c>
      <c r="O16" s="6">
        <v>529.9</v>
      </c>
      <c r="P16" s="6"/>
      <c r="Q16" s="6">
        <v>529.9</v>
      </c>
      <c r="R16" s="6"/>
      <c r="S16" s="18" t="s">
        <v>63</v>
      </c>
      <c r="T16" s="6"/>
    </row>
    <row r="17" spans="1:20" ht="18" x14ac:dyDescent="0.2">
      <c r="A17" s="18"/>
      <c r="B17" s="6" t="s">
        <v>58</v>
      </c>
      <c r="C17" s="7">
        <v>529.9</v>
      </c>
      <c r="D17" s="6">
        <v>531.19000000000005</v>
      </c>
      <c r="E17" s="6">
        <v>531.71</v>
      </c>
      <c r="F17" s="11">
        <f>($D17-$C17)/$C17</f>
        <v>2.4344215889791987E-3</v>
      </c>
      <c r="G17" s="4">
        <v>0.75</v>
      </c>
      <c r="H17" s="6"/>
      <c r="I17" s="6"/>
      <c r="J17" s="6"/>
      <c r="K17" s="6"/>
      <c r="L17" s="18"/>
      <c r="M17" s="6" t="s">
        <v>58</v>
      </c>
      <c r="N17" s="6">
        <v>531.71</v>
      </c>
      <c r="O17" s="6">
        <v>529.9</v>
      </c>
      <c r="P17" s="11">
        <f t="shared" ref="P17" si="2">($O17-$N17)/$N17</f>
        <v>-3.4041112636588721E-3</v>
      </c>
      <c r="Q17" s="6">
        <v>529.9</v>
      </c>
      <c r="R17" s="11">
        <f t="shared" ref="R17" si="3">($Q17-$N17)/$N17</f>
        <v>-3.4041112636588721E-3</v>
      </c>
      <c r="S17" s="18"/>
      <c r="T17" s="11"/>
    </row>
    <row r="18" spans="1:20" ht="18" x14ac:dyDescent="0.2">
      <c r="A18" s="18"/>
      <c r="B18" s="6" t="s">
        <v>59</v>
      </c>
      <c r="C18" s="6"/>
      <c r="D18" s="6">
        <v>3.59</v>
      </c>
      <c r="E18" s="6">
        <v>3.83</v>
      </c>
      <c r="F18" s="8"/>
      <c r="G18" s="6"/>
      <c r="H18" s="6"/>
      <c r="I18" s="6"/>
      <c r="J18" s="6"/>
      <c r="K18" s="6"/>
      <c r="L18" s="18"/>
      <c r="M18" s="6" t="s">
        <v>59</v>
      </c>
      <c r="N18" s="6">
        <v>3.83</v>
      </c>
      <c r="O18" s="6">
        <v>0</v>
      </c>
      <c r="P18" s="6"/>
      <c r="Q18" s="6">
        <v>0</v>
      </c>
      <c r="R18" s="6"/>
      <c r="S18" s="18"/>
      <c r="T18" s="6"/>
    </row>
    <row r="19" spans="1:20" ht="18" x14ac:dyDescent="0.2">
      <c r="A19" s="18" t="s">
        <v>11</v>
      </c>
      <c r="B19" s="6" t="s">
        <v>57</v>
      </c>
      <c r="C19" s="7">
        <v>692.64</v>
      </c>
      <c r="D19" s="6">
        <v>696.27</v>
      </c>
      <c r="E19" s="6">
        <v>696.63</v>
      </c>
      <c r="F19" s="8"/>
      <c r="G19" s="6"/>
      <c r="H19" s="6"/>
      <c r="I19" s="6"/>
      <c r="J19" s="6"/>
      <c r="K19" s="6"/>
      <c r="L19" s="18" t="s">
        <v>11</v>
      </c>
      <c r="M19" s="6" t="s">
        <v>57</v>
      </c>
      <c r="N19" s="6">
        <v>696.63</v>
      </c>
      <c r="O19" s="6">
        <v>692.64</v>
      </c>
      <c r="P19" s="6"/>
      <c r="Q19" s="6"/>
      <c r="R19" s="6"/>
      <c r="S19" s="6"/>
      <c r="T19" s="6"/>
    </row>
    <row r="20" spans="1:20" ht="18" x14ac:dyDescent="0.2">
      <c r="A20" s="18"/>
      <c r="B20" s="6" t="s">
        <v>58</v>
      </c>
      <c r="C20" s="7">
        <v>694.61</v>
      </c>
      <c r="D20" s="6">
        <v>699.54</v>
      </c>
      <c r="E20" s="6">
        <v>700.74</v>
      </c>
      <c r="F20" s="11">
        <f>($D20-$C20)/$C20</f>
        <v>7.0975079541036696E-3</v>
      </c>
      <c r="G20" s="4">
        <v>1.1200000000000001</v>
      </c>
      <c r="H20" s="6"/>
      <c r="I20" s="19" t="s">
        <v>61</v>
      </c>
      <c r="J20" s="19"/>
      <c r="K20" s="6"/>
      <c r="L20" s="18"/>
      <c r="M20" s="6" t="s">
        <v>58</v>
      </c>
      <c r="N20" s="6">
        <v>700.74</v>
      </c>
      <c r="O20" s="6">
        <v>696.21</v>
      </c>
      <c r="P20" s="11">
        <f t="shared" ref="P20" si="4">($O20-$N20)/$N20</f>
        <v>-6.4645945714529966E-3</v>
      </c>
      <c r="Q20" s="6"/>
      <c r="R20" s="11"/>
      <c r="S20" s="11"/>
      <c r="T20" s="11"/>
    </row>
    <row r="21" spans="1:20" ht="18" x14ac:dyDescent="0.2">
      <c r="A21" s="18"/>
      <c r="B21" s="6" t="s">
        <v>59</v>
      </c>
      <c r="C21" s="6"/>
      <c r="D21" s="6">
        <v>2.91</v>
      </c>
      <c r="E21" s="6">
        <v>3.84</v>
      </c>
      <c r="F21" s="8"/>
      <c r="G21" s="6"/>
      <c r="H21" s="6"/>
      <c r="I21" s="19"/>
      <c r="J21" s="19"/>
      <c r="K21" s="6"/>
      <c r="L21" s="18"/>
      <c r="M21" s="6" t="s">
        <v>59</v>
      </c>
      <c r="N21" s="6">
        <v>3.84</v>
      </c>
      <c r="O21" s="6">
        <v>2.73</v>
      </c>
      <c r="P21" s="6"/>
      <c r="Q21" s="6"/>
      <c r="R21" s="6"/>
      <c r="S21" s="6"/>
      <c r="T21" s="6"/>
    </row>
    <row r="22" spans="1:20" ht="18" x14ac:dyDescent="0.2">
      <c r="A22" s="18" t="s">
        <v>12</v>
      </c>
      <c r="B22" s="6" t="s">
        <v>57</v>
      </c>
      <c r="C22" s="6">
        <v>837.1</v>
      </c>
      <c r="D22" s="6">
        <v>840.55</v>
      </c>
      <c r="E22" s="6">
        <v>839.59</v>
      </c>
      <c r="F22" s="8"/>
      <c r="G22" s="6"/>
      <c r="H22" s="6"/>
      <c r="I22" s="19"/>
      <c r="J22" s="19"/>
      <c r="K22" s="6"/>
      <c r="L22" s="18" t="s">
        <v>12</v>
      </c>
      <c r="M22" s="6" t="s">
        <v>57</v>
      </c>
      <c r="N22" s="6">
        <v>839.59</v>
      </c>
      <c r="O22" s="6">
        <v>839.3</v>
      </c>
      <c r="P22" s="6"/>
      <c r="Q22" s="6">
        <v>839.3</v>
      </c>
      <c r="R22" s="6"/>
      <c r="S22" s="18" t="s">
        <v>64</v>
      </c>
      <c r="T22" s="6"/>
    </row>
    <row r="23" spans="1:20" ht="18" x14ac:dyDescent="0.2">
      <c r="A23" s="18"/>
      <c r="B23" s="6" t="s">
        <v>58</v>
      </c>
      <c r="C23" s="6">
        <v>843.1</v>
      </c>
      <c r="D23" s="6">
        <v>844.01</v>
      </c>
      <c r="E23" s="6">
        <v>843.53</v>
      </c>
      <c r="F23" s="11">
        <f>($D23-$C23)/$C23</f>
        <v>1.079350017791446E-3</v>
      </c>
      <c r="G23" s="6">
        <v>2.31</v>
      </c>
      <c r="H23" s="6"/>
      <c r="I23" s="19"/>
      <c r="J23" s="19"/>
      <c r="K23" s="6"/>
      <c r="L23" s="18"/>
      <c r="M23" s="6" t="s">
        <v>58</v>
      </c>
      <c r="N23" s="6">
        <v>843.53</v>
      </c>
      <c r="O23" s="6">
        <v>841.08</v>
      </c>
      <c r="P23" s="11">
        <f t="shared" ref="P23" si="5">($O23-$N23)/$N23</f>
        <v>-2.9044610150201319E-3</v>
      </c>
      <c r="Q23" s="6">
        <v>840.44</v>
      </c>
      <c r="R23" s="11">
        <f t="shared" ref="R23" si="6">($Q23-$N23)/$N23</f>
        <v>-3.6631773618009062E-3</v>
      </c>
      <c r="S23" s="18"/>
      <c r="T23" s="6"/>
    </row>
    <row r="24" spans="1:20" ht="18" x14ac:dyDescent="0.2">
      <c r="A24" s="18"/>
      <c r="B24" s="6" t="s">
        <v>59</v>
      </c>
      <c r="C24" s="6"/>
      <c r="D24" s="6">
        <v>3.16</v>
      </c>
      <c r="E24" s="6">
        <v>3.43</v>
      </c>
      <c r="F24" s="8"/>
      <c r="G24" s="6"/>
      <c r="H24" s="6"/>
      <c r="I24" s="19"/>
      <c r="J24" s="19"/>
      <c r="K24" s="6"/>
      <c r="L24" s="18"/>
      <c r="M24" s="6" t="s">
        <v>59</v>
      </c>
      <c r="N24" s="6">
        <v>3.43</v>
      </c>
      <c r="O24" s="6">
        <v>1.06</v>
      </c>
      <c r="P24" s="6"/>
      <c r="Q24" s="6">
        <v>0.72</v>
      </c>
      <c r="R24" s="6"/>
      <c r="S24" s="18"/>
      <c r="T24" s="6"/>
    </row>
    <row r="25" spans="1:20" ht="18" x14ac:dyDescent="0.2">
      <c r="A25" s="18" t="s">
        <v>13</v>
      </c>
      <c r="B25" s="6" t="s">
        <v>57</v>
      </c>
      <c r="C25" s="6">
        <v>15910.86</v>
      </c>
      <c r="D25" s="6">
        <v>15916.19</v>
      </c>
      <c r="E25" s="6">
        <v>15909.95</v>
      </c>
      <c r="F25" s="8"/>
      <c r="G25" s="6"/>
      <c r="H25" s="6"/>
      <c r="I25" s="6"/>
      <c r="J25" s="6"/>
      <c r="K25" s="6"/>
      <c r="L25" s="18" t="s">
        <v>13</v>
      </c>
      <c r="M25" s="6" t="s">
        <v>57</v>
      </c>
      <c r="N25" s="6">
        <v>15909.95</v>
      </c>
      <c r="O25" s="6">
        <v>16054.78</v>
      </c>
      <c r="P25" s="6"/>
      <c r="Q25" s="6"/>
      <c r="R25" s="6"/>
      <c r="S25" s="6"/>
      <c r="T25" s="6"/>
    </row>
    <row r="26" spans="1:20" ht="18" x14ac:dyDescent="0.2">
      <c r="A26" s="18"/>
      <c r="B26" s="6" t="s">
        <v>58</v>
      </c>
      <c r="C26" s="6">
        <v>16214.37</v>
      </c>
      <c r="D26" s="10">
        <v>16103.45</v>
      </c>
      <c r="E26" s="6">
        <v>16111.37</v>
      </c>
      <c r="F26" s="11">
        <f>($D26-$C26)/$C26</f>
        <v>-6.8408454969264955E-3</v>
      </c>
      <c r="G26" s="6">
        <v>4.45</v>
      </c>
      <c r="H26" s="6"/>
      <c r="I26" s="6"/>
      <c r="J26" s="6"/>
      <c r="K26" s="10"/>
      <c r="L26" s="18"/>
      <c r="M26" s="6" t="s">
        <v>58</v>
      </c>
      <c r="N26" s="6">
        <v>16111.37</v>
      </c>
      <c r="O26" s="16">
        <v>16151.07</v>
      </c>
      <c r="P26" s="11">
        <f t="shared" ref="P26" si="7">($O26-$N26)/$N26</f>
        <v>2.4640983355232304E-3</v>
      </c>
      <c r="Q26" s="6"/>
      <c r="R26" s="11"/>
      <c r="S26" s="6"/>
      <c r="T26" s="6"/>
    </row>
    <row r="27" spans="1:20" ht="18" x14ac:dyDescent="0.2">
      <c r="A27" s="18"/>
      <c r="B27" s="6" t="s">
        <v>59</v>
      </c>
      <c r="C27" s="6"/>
      <c r="D27" s="6">
        <v>85.93</v>
      </c>
      <c r="E27" s="6">
        <v>101.27</v>
      </c>
      <c r="F27" s="8"/>
      <c r="G27" s="6"/>
      <c r="H27" s="6"/>
      <c r="I27" s="6"/>
      <c r="J27" s="6"/>
      <c r="K27" s="6"/>
      <c r="L27" s="18"/>
      <c r="M27" s="6" t="s">
        <v>59</v>
      </c>
      <c r="N27" s="6">
        <v>101.27</v>
      </c>
      <c r="O27" s="6">
        <v>89.01</v>
      </c>
      <c r="P27" s="6"/>
      <c r="Q27" s="6"/>
      <c r="R27" s="6"/>
      <c r="S27" s="6"/>
      <c r="T27" s="6"/>
    </row>
    <row r="28" spans="1:20" ht="18" x14ac:dyDescent="0.2">
      <c r="A28" s="18" t="s">
        <v>14</v>
      </c>
      <c r="B28" s="6" t="s">
        <v>57</v>
      </c>
      <c r="C28" s="6">
        <v>11090.28</v>
      </c>
      <c r="D28" s="6">
        <v>11114.46</v>
      </c>
      <c r="E28" s="6">
        <v>11185.24</v>
      </c>
      <c r="F28" s="8"/>
      <c r="G28" s="6"/>
      <c r="H28" s="6"/>
      <c r="I28" s="6"/>
      <c r="J28" s="6"/>
      <c r="K28" s="6"/>
      <c r="L28" s="18" t="s">
        <v>14</v>
      </c>
      <c r="M28" s="6" t="s">
        <v>57</v>
      </c>
      <c r="N28" s="6">
        <v>11185.24</v>
      </c>
      <c r="O28" s="6">
        <v>11185.5</v>
      </c>
      <c r="P28" s="6"/>
      <c r="Q28" s="6">
        <v>11108.36</v>
      </c>
      <c r="R28" s="6"/>
      <c r="S28" s="18" t="s">
        <v>64</v>
      </c>
      <c r="T28" s="6"/>
    </row>
    <row r="29" spans="1:20" ht="18" x14ac:dyDescent="0.2">
      <c r="A29" s="18"/>
      <c r="B29" s="6" t="s">
        <v>58</v>
      </c>
      <c r="C29" s="6">
        <v>11206.6</v>
      </c>
      <c r="D29" s="6">
        <v>11245.67</v>
      </c>
      <c r="E29" s="6">
        <v>11282.85</v>
      </c>
      <c r="F29" s="11">
        <f>($D29-$C29)/$C29</f>
        <v>3.4863384077239937E-3</v>
      </c>
      <c r="G29" s="6">
        <v>11.7</v>
      </c>
      <c r="H29" s="6"/>
      <c r="I29" s="6"/>
      <c r="J29" s="6"/>
      <c r="K29" s="6"/>
      <c r="L29" s="18"/>
      <c r="M29" s="6" t="s">
        <v>58</v>
      </c>
      <c r="N29" s="6">
        <v>11282.85</v>
      </c>
      <c r="O29" s="6">
        <v>11261.53</v>
      </c>
      <c r="P29" s="11">
        <f t="shared" ref="P29" si="8">($O29-$N29)/$N29</f>
        <v>-1.8895934980966429E-3</v>
      </c>
      <c r="Q29" s="6">
        <v>11241.56</v>
      </c>
      <c r="R29" s="11">
        <f t="shared" ref="R29" si="9">($Q29-$N29)/$N29</f>
        <v>-3.6595363760043671E-3</v>
      </c>
      <c r="S29" s="18"/>
      <c r="T29" s="6"/>
    </row>
    <row r="30" spans="1:20" ht="18" x14ac:dyDescent="0.2">
      <c r="A30" s="18"/>
      <c r="B30" s="6" t="s">
        <v>59</v>
      </c>
      <c r="C30" s="6"/>
      <c r="D30" s="6">
        <v>87.27</v>
      </c>
      <c r="E30" s="6">
        <v>76.11</v>
      </c>
      <c r="F30" s="8"/>
      <c r="G30" s="6"/>
      <c r="H30" s="6"/>
      <c r="I30" s="6"/>
      <c r="J30" s="6"/>
      <c r="K30" s="6"/>
      <c r="L30" s="18"/>
      <c r="M30" s="6" t="s">
        <v>59</v>
      </c>
      <c r="N30" s="6">
        <v>76.11</v>
      </c>
      <c r="O30" s="6">
        <v>59.68</v>
      </c>
      <c r="P30" s="6"/>
      <c r="Q30" s="6">
        <v>96.4</v>
      </c>
      <c r="R30" s="6"/>
      <c r="S30" s="18"/>
      <c r="T30" s="6"/>
    </row>
    <row r="31" spans="1:20" ht="18" x14ac:dyDescent="0.2">
      <c r="A31" s="18" t="s">
        <v>15</v>
      </c>
      <c r="B31" s="6" t="s">
        <v>57</v>
      </c>
      <c r="C31" s="6">
        <v>26622.42</v>
      </c>
      <c r="D31" s="10">
        <v>26370.42</v>
      </c>
      <c r="E31" s="6">
        <v>26360.84</v>
      </c>
      <c r="F31" s="8"/>
      <c r="G31" s="6"/>
      <c r="H31" s="6"/>
      <c r="I31" s="6"/>
      <c r="J31" s="6"/>
      <c r="K31" s="10"/>
      <c r="L31" s="18" t="s">
        <v>15</v>
      </c>
      <c r="M31" s="6" t="s">
        <v>57</v>
      </c>
      <c r="N31" s="6">
        <v>26360.84</v>
      </c>
      <c r="O31" s="6">
        <v>26227.7</v>
      </c>
      <c r="P31" s="6"/>
      <c r="Q31" s="6"/>
      <c r="R31" s="6"/>
      <c r="S31" s="6"/>
      <c r="T31" s="6"/>
    </row>
    <row r="32" spans="1:20" ht="18" x14ac:dyDescent="0.2">
      <c r="A32" s="18"/>
      <c r="B32" s="6" t="s">
        <v>58</v>
      </c>
      <c r="C32" s="6">
        <v>26750.6</v>
      </c>
      <c r="D32" s="10">
        <v>26448.67</v>
      </c>
      <c r="E32" s="6">
        <v>26434.45</v>
      </c>
      <c r="F32" s="11">
        <f>($D32-$C32)/$C32</f>
        <v>-1.1286849640755733E-2</v>
      </c>
      <c r="G32" s="6">
        <v>97.58</v>
      </c>
      <c r="H32" s="19" t="s">
        <v>62</v>
      </c>
      <c r="I32" s="19"/>
      <c r="J32" s="19"/>
      <c r="K32" s="10"/>
      <c r="L32" s="18"/>
      <c r="M32" s="6" t="s">
        <v>58</v>
      </c>
      <c r="N32" s="6">
        <v>26434.45</v>
      </c>
      <c r="O32" s="6">
        <v>26383.23</v>
      </c>
      <c r="P32" s="11">
        <f t="shared" ref="P32" si="10">($O32-$N32)/$N32</f>
        <v>-1.9376230638428703E-3</v>
      </c>
      <c r="Q32" s="6"/>
      <c r="R32" s="11"/>
      <c r="S32" s="6"/>
      <c r="T32" s="6"/>
    </row>
    <row r="33" spans="1:20" ht="18" x14ac:dyDescent="0.2">
      <c r="A33" s="18"/>
      <c r="B33" s="6" t="s">
        <v>59</v>
      </c>
      <c r="C33" s="6"/>
      <c r="D33" s="6">
        <v>58.1</v>
      </c>
      <c r="E33" s="6">
        <v>49.49</v>
      </c>
      <c r="F33" s="8"/>
      <c r="G33" s="6"/>
      <c r="H33" s="19"/>
      <c r="I33" s="19"/>
      <c r="J33" s="19"/>
      <c r="K33" s="6"/>
      <c r="L33" s="18"/>
      <c r="M33" s="6" t="s">
        <v>59</v>
      </c>
      <c r="N33" s="6">
        <v>49.49</v>
      </c>
      <c r="O33" s="6">
        <v>82.24</v>
      </c>
      <c r="P33" s="6"/>
      <c r="Q33" s="6"/>
      <c r="R33" s="6"/>
      <c r="S33" s="6"/>
      <c r="T33" s="6"/>
    </row>
    <row r="34" spans="1:20" ht="18" x14ac:dyDescent="0.2">
      <c r="A34" s="18" t="s">
        <v>16</v>
      </c>
      <c r="B34" s="6" t="s">
        <v>57</v>
      </c>
      <c r="C34" s="6">
        <v>24794.35</v>
      </c>
      <c r="D34" s="10">
        <v>24465.89</v>
      </c>
      <c r="E34" s="6">
        <v>24557.35</v>
      </c>
      <c r="F34" s="8"/>
      <c r="G34" s="6"/>
      <c r="H34" s="19"/>
      <c r="I34" s="19"/>
      <c r="J34" s="19"/>
      <c r="K34" s="10"/>
      <c r="L34" s="18" t="s">
        <v>16</v>
      </c>
      <c r="M34" s="6" t="s">
        <v>57</v>
      </c>
      <c r="N34" s="6">
        <v>24557.35</v>
      </c>
      <c r="O34" s="6">
        <v>24540.77</v>
      </c>
      <c r="P34" s="6"/>
      <c r="Q34" s="6"/>
      <c r="R34" s="6"/>
      <c r="S34" s="6"/>
      <c r="T34" s="6"/>
    </row>
    <row r="35" spans="1:20" ht="18" x14ac:dyDescent="0.2">
      <c r="A35" s="18"/>
      <c r="B35" s="6" t="s">
        <v>58</v>
      </c>
      <c r="C35" s="6">
        <v>25041.1</v>
      </c>
      <c r="D35" s="10">
        <v>24600.78</v>
      </c>
      <c r="E35" s="6">
        <v>24633.08</v>
      </c>
      <c r="F35" s="11">
        <f>($D35-$C35)/$C35</f>
        <v>-1.7583892081418136E-2</v>
      </c>
      <c r="G35" s="6">
        <v>103.87</v>
      </c>
      <c r="H35" s="19"/>
      <c r="I35" s="19"/>
      <c r="J35" s="19"/>
      <c r="K35" s="10"/>
      <c r="L35" s="18"/>
      <c r="M35" s="6" t="s">
        <v>58</v>
      </c>
      <c r="N35" s="6">
        <v>24633.08</v>
      </c>
      <c r="O35" s="6">
        <v>24614.47</v>
      </c>
      <c r="P35" s="11">
        <f t="shared" ref="P35" si="11">($O35-$N35)/$N35</f>
        <v>-7.5548814845730137E-4</v>
      </c>
      <c r="Q35" s="6"/>
      <c r="R35" s="11"/>
      <c r="S35" s="6"/>
      <c r="T35" s="6"/>
    </row>
    <row r="36" spans="1:20" ht="18" x14ac:dyDescent="0.2">
      <c r="A36" s="18"/>
      <c r="B36" s="6" t="s">
        <v>59</v>
      </c>
      <c r="C36" s="6"/>
      <c r="D36" s="6">
        <v>79.95</v>
      </c>
      <c r="E36" s="6">
        <v>47.83</v>
      </c>
      <c r="F36" s="8"/>
      <c r="G36" s="6"/>
      <c r="H36" s="19"/>
      <c r="I36" s="19"/>
      <c r="J36" s="19"/>
      <c r="K36" s="6"/>
      <c r="L36" s="18"/>
      <c r="M36" s="6" t="s">
        <v>59</v>
      </c>
      <c r="N36" s="6">
        <v>47.83</v>
      </c>
      <c r="O36" s="6">
        <v>48.21</v>
      </c>
      <c r="P36" s="6"/>
      <c r="Q36" s="6"/>
      <c r="R36" s="6"/>
      <c r="S36" s="6"/>
      <c r="T36" s="6"/>
    </row>
    <row r="37" spans="1:20" ht="18" x14ac:dyDescent="0.2">
      <c r="A37" s="18" t="s">
        <v>17</v>
      </c>
      <c r="B37" s="6" t="s">
        <v>57</v>
      </c>
      <c r="C37" s="6">
        <v>51436.9</v>
      </c>
      <c r="D37" s="10">
        <v>51234.65</v>
      </c>
      <c r="E37" s="6">
        <v>51233.56</v>
      </c>
      <c r="F37" s="8"/>
      <c r="G37" s="6"/>
      <c r="H37" s="19"/>
      <c r="I37" s="19"/>
      <c r="J37" s="19"/>
      <c r="K37" s="10"/>
      <c r="L37" s="18" t="s">
        <v>17</v>
      </c>
      <c r="M37" s="6" t="s">
        <v>57</v>
      </c>
      <c r="N37" s="6">
        <v>51233.56</v>
      </c>
      <c r="O37" s="6">
        <v>51232.81</v>
      </c>
      <c r="P37" s="6"/>
      <c r="Q37" s="6"/>
      <c r="R37" s="6"/>
      <c r="S37" s="6"/>
      <c r="T37" s="6"/>
    </row>
    <row r="38" spans="1:20" ht="18" x14ac:dyDescent="0.2">
      <c r="A38" s="18"/>
      <c r="B38" s="6" t="s">
        <v>58</v>
      </c>
      <c r="C38" s="6">
        <v>51776.7</v>
      </c>
      <c r="D38" s="10">
        <v>51379.4</v>
      </c>
      <c r="E38" s="6">
        <v>51383.040000000001</v>
      </c>
      <c r="F38" s="11">
        <f>($D38-$C38)/$C38</f>
        <v>-7.6733356896054724E-3</v>
      </c>
      <c r="G38" s="4">
        <v>166.95</v>
      </c>
      <c r="H38" s="19"/>
      <c r="I38" s="19"/>
      <c r="J38" s="19"/>
      <c r="K38" s="10"/>
      <c r="L38" s="18"/>
      <c r="M38" s="6" t="s">
        <v>58</v>
      </c>
      <c r="N38" s="6">
        <v>51383.040000000001</v>
      </c>
      <c r="O38" s="6">
        <v>51345.46</v>
      </c>
      <c r="P38" s="11">
        <f t="shared" ref="P38" si="12">($O38-$N38)/$N38</f>
        <v>-7.3136972822164168E-4</v>
      </c>
      <c r="Q38" s="6"/>
      <c r="R38" s="11"/>
      <c r="S38" s="6"/>
      <c r="T38" s="6"/>
    </row>
    <row r="39" spans="1:20" ht="18" x14ac:dyDescent="0.2">
      <c r="A39" s="18"/>
      <c r="B39" s="6" t="s">
        <v>59</v>
      </c>
      <c r="C39" s="6"/>
      <c r="D39" s="6">
        <v>107.62</v>
      </c>
      <c r="E39" s="6">
        <v>114.87</v>
      </c>
      <c r="F39" s="8"/>
      <c r="G39" s="6"/>
      <c r="H39" s="19"/>
      <c r="I39" s="19"/>
      <c r="J39" s="19"/>
      <c r="K39" s="6"/>
      <c r="L39" s="18"/>
      <c r="M39" s="6" t="s">
        <v>59</v>
      </c>
      <c r="N39" s="6">
        <v>114.87</v>
      </c>
      <c r="O39" s="6">
        <v>75.22</v>
      </c>
      <c r="P39" s="6"/>
      <c r="Q39" s="6"/>
      <c r="R39" s="6"/>
      <c r="S39" s="6"/>
      <c r="T39" s="6"/>
    </row>
    <row r="40" spans="1:20" ht="18" x14ac:dyDescent="0.2">
      <c r="A40" s="18" t="s">
        <v>18</v>
      </c>
      <c r="B40" s="6" t="s">
        <v>57</v>
      </c>
      <c r="C40" s="6">
        <v>69955.95</v>
      </c>
      <c r="D40" s="10">
        <v>69415.64</v>
      </c>
      <c r="E40" s="6">
        <v>69457.36</v>
      </c>
      <c r="F40" s="8"/>
      <c r="G40" s="6"/>
      <c r="H40" s="19"/>
      <c r="I40" s="19"/>
      <c r="J40" s="19"/>
      <c r="K40" s="10"/>
      <c r="L40" s="18" t="s">
        <v>18</v>
      </c>
      <c r="M40" s="6" t="s">
        <v>57</v>
      </c>
      <c r="N40" s="6">
        <v>69457.36</v>
      </c>
      <c r="O40" s="6">
        <v>69135.31</v>
      </c>
      <c r="P40" s="6"/>
      <c r="Q40" s="6"/>
      <c r="R40" s="6"/>
      <c r="S40" s="6"/>
      <c r="T40" s="6"/>
    </row>
    <row r="41" spans="1:20" ht="18" x14ac:dyDescent="0.2">
      <c r="A41" s="18"/>
      <c r="B41" s="6" t="s">
        <v>58</v>
      </c>
      <c r="C41" s="6">
        <v>70401.25</v>
      </c>
      <c r="D41" s="10">
        <v>69610.37</v>
      </c>
      <c r="E41" s="6">
        <v>69610</v>
      </c>
      <c r="F41" s="11">
        <f>($D41-$C41)/$C41</f>
        <v>-1.1233891443688922E-2</v>
      </c>
      <c r="G41" s="6">
        <v>1110.7</v>
      </c>
      <c r="H41" s="6"/>
      <c r="I41" s="6"/>
      <c r="J41" s="6"/>
      <c r="K41" s="10"/>
      <c r="L41" s="18"/>
      <c r="M41" s="6" t="s">
        <v>58</v>
      </c>
      <c r="N41" s="6">
        <v>69610</v>
      </c>
      <c r="O41" s="6">
        <v>69284.84</v>
      </c>
      <c r="P41" s="11">
        <f t="shared" ref="P41" si="13">($O41-$N41)/$N41</f>
        <v>-4.6711679356414813E-3</v>
      </c>
      <c r="Q41" s="6"/>
      <c r="R41" s="11"/>
      <c r="S41" s="6"/>
      <c r="T41" s="6"/>
    </row>
    <row r="42" spans="1:20" ht="18" x14ac:dyDescent="0.2">
      <c r="A42" s="18"/>
      <c r="B42" s="6" t="s">
        <v>59</v>
      </c>
      <c r="C42" s="6"/>
      <c r="D42" s="6">
        <v>123.6</v>
      </c>
      <c r="E42" s="6">
        <v>123.2</v>
      </c>
      <c r="F42" s="8"/>
      <c r="G42" s="6"/>
      <c r="H42" s="6"/>
      <c r="I42" s="6"/>
      <c r="J42" s="6"/>
      <c r="K42" s="6"/>
      <c r="L42" s="18"/>
      <c r="M42" s="6" t="s">
        <v>59</v>
      </c>
      <c r="N42" s="6">
        <v>123.2</v>
      </c>
      <c r="O42" s="6">
        <v>127.51</v>
      </c>
      <c r="P42" s="6"/>
      <c r="Q42" s="6"/>
      <c r="R42" s="6"/>
      <c r="S42" s="6"/>
      <c r="T42" s="6"/>
    </row>
    <row r="43" spans="1:20" ht="18" x14ac:dyDescent="0.2">
      <c r="A43" s="18" t="s">
        <v>19</v>
      </c>
      <c r="B43" s="6" t="s">
        <v>57</v>
      </c>
      <c r="C43" s="6">
        <v>79779.87</v>
      </c>
      <c r="D43" s="10">
        <v>78809.509999999995</v>
      </c>
      <c r="E43" s="6">
        <v>78839.839999999997</v>
      </c>
      <c r="F43" s="8"/>
      <c r="G43" s="6"/>
      <c r="H43" s="6"/>
      <c r="I43" s="6"/>
      <c r="J43" s="6"/>
      <c r="K43" s="10"/>
      <c r="L43" s="18" t="s">
        <v>19</v>
      </c>
      <c r="M43" s="6" t="s">
        <v>57</v>
      </c>
      <c r="N43" s="6">
        <v>78839.839999999997</v>
      </c>
      <c r="O43" s="6">
        <v>78490.149999999994</v>
      </c>
      <c r="P43" s="6"/>
      <c r="Q43" s="6"/>
      <c r="R43" s="6"/>
      <c r="S43" s="6"/>
      <c r="T43" s="6"/>
    </row>
    <row r="44" spans="1:20" ht="18" x14ac:dyDescent="0.2">
      <c r="A44" s="18"/>
      <c r="B44" s="6" t="s">
        <v>58</v>
      </c>
      <c r="C44" s="6">
        <v>80135.67</v>
      </c>
      <c r="D44" s="10">
        <v>78937.48</v>
      </c>
      <c r="E44" s="6">
        <v>79015.61</v>
      </c>
      <c r="F44" s="11">
        <f>($D44-$C44)/$C44</f>
        <v>-1.4952018246056997E-2</v>
      </c>
      <c r="G44" s="6">
        <v>17950.009999999998</v>
      </c>
      <c r="H44" s="6"/>
      <c r="I44" s="6"/>
      <c r="J44" s="6"/>
      <c r="K44" s="10"/>
      <c r="L44" s="18"/>
      <c r="M44" s="6" t="s">
        <v>58</v>
      </c>
      <c r="N44" s="6">
        <v>79015.61</v>
      </c>
      <c r="O44" s="6">
        <v>78639.789999999994</v>
      </c>
      <c r="P44" s="11">
        <f t="shared" ref="P44" si="14">($O44-$N44)/$N44</f>
        <v>-4.7562753739420222E-3</v>
      </c>
      <c r="Q44" s="6"/>
      <c r="R44" s="11"/>
      <c r="S44" s="6"/>
      <c r="T44" s="6"/>
    </row>
    <row r="45" spans="1:20" ht="18" x14ac:dyDescent="0.2">
      <c r="A45" s="18"/>
      <c r="B45" s="6" t="s">
        <v>59</v>
      </c>
      <c r="C45" s="6"/>
      <c r="D45" s="6">
        <v>90.58</v>
      </c>
      <c r="E45" s="6">
        <v>120.63</v>
      </c>
      <c r="F45" s="8"/>
      <c r="G45" s="6"/>
      <c r="H45" s="6"/>
      <c r="I45" s="6"/>
      <c r="J45" s="6"/>
      <c r="K45" s="6"/>
      <c r="L45" s="18"/>
      <c r="M45" s="6" t="s">
        <v>59</v>
      </c>
      <c r="N45" s="6">
        <v>120.63</v>
      </c>
      <c r="O45" s="6">
        <v>127.62</v>
      </c>
      <c r="P45" s="6"/>
      <c r="Q45" s="6"/>
      <c r="R45" s="6"/>
      <c r="S45" s="6"/>
      <c r="T45" s="6"/>
    </row>
    <row r="46" spans="1:20" ht="18" x14ac:dyDescent="0.2">
      <c r="A46" s="18" t="s">
        <v>20</v>
      </c>
      <c r="B46" s="6" t="s">
        <v>57</v>
      </c>
      <c r="C46" s="6">
        <v>161924.79</v>
      </c>
      <c r="D46" s="10">
        <v>159864.38</v>
      </c>
      <c r="E46" s="6">
        <v>159670.54999999999</v>
      </c>
      <c r="F46" s="8"/>
      <c r="G46" s="6"/>
      <c r="H46" s="4"/>
      <c r="I46" s="4"/>
      <c r="J46" s="4"/>
      <c r="K46" s="10"/>
      <c r="L46" s="18" t="s">
        <v>20</v>
      </c>
      <c r="M46" s="6" t="s">
        <v>57</v>
      </c>
      <c r="N46" s="6">
        <v>159670.54999999999</v>
      </c>
      <c r="O46" s="6">
        <v>159208.89000000001</v>
      </c>
      <c r="P46" s="6"/>
      <c r="Q46" s="6"/>
      <c r="R46" s="6"/>
      <c r="S46" s="6"/>
      <c r="T46" s="6"/>
    </row>
    <row r="47" spans="1:20" ht="18" x14ac:dyDescent="0.2">
      <c r="A47" s="18"/>
      <c r="B47" s="6" t="s">
        <v>58</v>
      </c>
      <c r="C47" s="6">
        <v>162530.67000000001</v>
      </c>
      <c r="D47" s="10">
        <v>160001.35999999999</v>
      </c>
      <c r="E47" s="6">
        <v>160085.28</v>
      </c>
      <c r="F47" s="11">
        <f>($D47-$C47)/$C47</f>
        <v>-1.5562047458489076E-2</v>
      </c>
      <c r="G47" s="6">
        <v>59216.68</v>
      </c>
      <c r="H47" s="4"/>
      <c r="I47" s="4"/>
      <c r="J47" s="4"/>
      <c r="K47" s="10"/>
      <c r="L47" s="18"/>
      <c r="M47" s="6" t="s">
        <v>58</v>
      </c>
      <c r="N47" s="6">
        <v>160085.28</v>
      </c>
      <c r="O47" s="6">
        <v>159377.98000000001</v>
      </c>
      <c r="P47" s="11">
        <f t="shared" ref="P47" si="15">($O47-$N47)/$N47</f>
        <v>-4.4182700620568512E-3</v>
      </c>
      <c r="Q47" s="6"/>
      <c r="R47" s="11"/>
      <c r="S47" s="6"/>
      <c r="T47" s="6"/>
    </row>
    <row r="48" spans="1:20" ht="18" x14ac:dyDescent="0.2">
      <c r="A48" s="18"/>
      <c r="B48" s="6" t="s">
        <v>59</v>
      </c>
      <c r="C48" s="6"/>
      <c r="D48" s="6">
        <v>175.36</v>
      </c>
      <c r="E48" s="6">
        <v>223.22</v>
      </c>
      <c r="F48" s="8"/>
      <c r="G48" s="6"/>
      <c r="H48" s="4"/>
      <c r="I48" s="4"/>
      <c r="J48" s="4"/>
      <c r="K48" s="6"/>
      <c r="L48" s="18"/>
      <c r="M48" s="6" t="s">
        <v>59</v>
      </c>
      <c r="N48" s="6">
        <v>223.22</v>
      </c>
      <c r="O48" s="6">
        <v>134.96</v>
      </c>
      <c r="P48" s="6"/>
      <c r="Q48" s="6"/>
      <c r="R48" s="6"/>
      <c r="S48" s="6"/>
      <c r="T48" s="6"/>
    </row>
    <row r="49" spans="1:20" ht="18" x14ac:dyDescent="0.2">
      <c r="A49" s="18" t="s">
        <v>21</v>
      </c>
      <c r="B49" s="6" t="s">
        <v>57</v>
      </c>
      <c r="C49" s="6">
        <v>336717.71</v>
      </c>
      <c r="D49" s="10">
        <v>332309.15999999997</v>
      </c>
      <c r="E49" s="6">
        <v>332178.98</v>
      </c>
      <c r="F49" s="8"/>
      <c r="G49" s="6"/>
      <c r="H49" s="4"/>
      <c r="I49" s="4"/>
      <c r="J49" s="4"/>
      <c r="K49" s="10"/>
      <c r="L49" s="18" t="s">
        <v>21</v>
      </c>
      <c r="M49" s="6" t="s">
        <v>57</v>
      </c>
      <c r="N49" s="6">
        <v>332178.98</v>
      </c>
      <c r="O49" s="6">
        <v>331524.19</v>
      </c>
      <c r="P49" s="6"/>
      <c r="Q49" s="6"/>
      <c r="R49" s="6"/>
      <c r="S49" s="6"/>
      <c r="T49" s="6"/>
    </row>
    <row r="50" spans="1:20" ht="18" x14ac:dyDescent="0.2">
      <c r="A50" s="18"/>
      <c r="B50" s="6" t="s">
        <v>58</v>
      </c>
      <c r="C50" s="6">
        <v>337641.92</v>
      </c>
      <c r="D50" s="10">
        <v>332558.2</v>
      </c>
      <c r="E50" s="6">
        <v>332454.13</v>
      </c>
      <c r="F50" s="11">
        <f>($D50-$C50)/$C50</f>
        <v>-1.5056542742085972E-2</v>
      </c>
      <c r="G50" s="4">
        <v>61893.54</v>
      </c>
      <c r="H50" s="4"/>
      <c r="I50" s="4"/>
      <c r="J50" s="5"/>
      <c r="K50" s="10"/>
      <c r="L50" s="18"/>
      <c r="M50" s="6" t="s">
        <v>58</v>
      </c>
      <c r="N50" s="6">
        <v>332454.13</v>
      </c>
      <c r="O50" s="6">
        <v>331705.88</v>
      </c>
      <c r="P50" s="11">
        <f t="shared" ref="P50" si="16">($O50-$N50)/$N50</f>
        <v>-2.2506864330426577E-3</v>
      </c>
      <c r="Q50" s="6"/>
      <c r="R50" s="11"/>
      <c r="S50" s="6"/>
      <c r="T50" s="6"/>
    </row>
    <row r="51" spans="1:20" ht="18" x14ac:dyDescent="0.2">
      <c r="A51" s="18"/>
      <c r="B51" s="6" t="s">
        <v>59</v>
      </c>
      <c r="C51" s="6"/>
      <c r="D51" s="6">
        <v>174.34</v>
      </c>
      <c r="E51" s="6">
        <v>170.57</v>
      </c>
      <c r="F51" s="8"/>
      <c r="G51" s="6"/>
      <c r="H51" s="4"/>
      <c r="I51" s="4"/>
      <c r="J51" s="4"/>
      <c r="K51" s="6"/>
      <c r="L51" s="18"/>
      <c r="M51" s="6" t="s">
        <v>59</v>
      </c>
      <c r="N51" s="6">
        <v>170.57</v>
      </c>
      <c r="O51" s="6">
        <v>162.35</v>
      </c>
      <c r="P51" s="6"/>
      <c r="Q51" s="6"/>
      <c r="R51" s="6"/>
      <c r="S51" s="6"/>
      <c r="T51" s="6"/>
    </row>
    <row r="52" spans="1:20" ht="18" x14ac:dyDescent="0.2">
      <c r="A52" s="18" t="s">
        <v>22</v>
      </c>
      <c r="B52" s="6" t="s">
        <v>57</v>
      </c>
      <c r="C52" s="6">
        <v>75469.289999999994</v>
      </c>
      <c r="D52" s="10">
        <v>74893.3</v>
      </c>
      <c r="E52" s="6">
        <v>74803.360000000001</v>
      </c>
      <c r="F52" s="8"/>
      <c r="G52" s="6"/>
      <c r="H52" s="4"/>
      <c r="I52" s="4"/>
      <c r="J52" s="4"/>
      <c r="K52" s="10"/>
      <c r="L52" s="18" t="s">
        <v>22</v>
      </c>
      <c r="M52" s="6" t="s">
        <v>57</v>
      </c>
      <c r="N52" s="6">
        <v>74803.360000000001</v>
      </c>
      <c r="O52" s="6">
        <v>74294.58</v>
      </c>
      <c r="P52" s="6"/>
      <c r="Q52" s="6"/>
      <c r="R52" s="6"/>
      <c r="S52" s="6"/>
      <c r="T52" s="6"/>
    </row>
    <row r="53" spans="1:20" ht="18" x14ac:dyDescent="0.2">
      <c r="A53" s="18"/>
      <c r="B53" s="6" t="s">
        <v>58</v>
      </c>
      <c r="C53" s="6">
        <v>75931.28</v>
      </c>
      <c r="D53" s="10">
        <v>75130.679999999993</v>
      </c>
      <c r="E53" s="6">
        <v>75132.63</v>
      </c>
      <c r="F53" s="11">
        <f>($D53-$C53)/$C53</f>
        <v>-1.0543744290890472E-2</v>
      </c>
      <c r="G53" s="6">
        <v>1662.41</v>
      </c>
      <c r="H53" s="4"/>
      <c r="I53" s="4"/>
      <c r="J53" s="4"/>
      <c r="K53" s="10"/>
      <c r="L53" s="18"/>
      <c r="M53" s="6" t="s">
        <v>58</v>
      </c>
      <c r="N53" s="6">
        <v>75132.63</v>
      </c>
      <c r="O53" s="6">
        <v>74571.679999999993</v>
      </c>
      <c r="P53" s="11">
        <f t="shared" ref="P53" si="17">($O53-$N53)/$N53</f>
        <v>-7.4661302286371661E-3</v>
      </c>
      <c r="Q53" s="6"/>
      <c r="R53" s="11"/>
      <c r="S53" s="6"/>
      <c r="T53" s="6"/>
    </row>
    <row r="54" spans="1:20" ht="18" x14ac:dyDescent="0.2">
      <c r="A54" s="18"/>
      <c r="B54" s="6" t="s">
        <v>59</v>
      </c>
      <c r="C54" s="6"/>
      <c r="D54" s="6">
        <v>135.43</v>
      </c>
      <c r="E54" s="6">
        <v>172.29</v>
      </c>
      <c r="F54" s="6"/>
      <c r="G54" s="6"/>
      <c r="H54" s="6"/>
      <c r="I54" s="6"/>
      <c r="J54" s="6"/>
      <c r="K54" s="6"/>
      <c r="L54" s="18"/>
      <c r="M54" s="6" t="s">
        <v>59</v>
      </c>
      <c r="N54" s="6">
        <v>172.29</v>
      </c>
      <c r="O54" s="6">
        <v>192.5</v>
      </c>
      <c r="P54" s="6"/>
      <c r="Q54" s="6"/>
      <c r="R54" s="6"/>
      <c r="S54" s="6"/>
      <c r="T54" s="6"/>
    </row>
    <row r="55" spans="1:20" ht="18" x14ac:dyDescent="0.2">
      <c r="A55" s="18" t="s">
        <v>23</v>
      </c>
      <c r="B55" s="6" t="s">
        <v>57</v>
      </c>
      <c r="L55" s="18" t="s">
        <v>23</v>
      </c>
      <c r="M55" s="6" t="s">
        <v>57</v>
      </c>
      <c r="N55" s="6">
        <v>378.44</v>
      </c>
      <c r="O55" s="6">
        <v>378.44</v>
      </c>
      <c r="P55" s="6"/>
      <c r="Q55" s="6">
        <v>378.44</v>
      </c>
      <c r="R55" s="6"/>
      <c r="S55" s="18" t="s">
        <v>63</v>
      </c>
      <c r="T55" s="6"/>
    </row>
    <row r="56" spans="1:20" ht="18" x14ac:dyDescent="0.2">
      <c r="A56" s="18"/>
      <c r="B56" s="6" t="s">
        <v>58</v>
      </c>
      <c r="L56" s="18"/>
      <c r="M56" s="6" t="s">
        <v>58</v>
      </c>
      <c r="N56" s="6">
        <v>378.44</v>
      </c>
      <c r="O56" s="6">
        <v>378.44</v>
      </c>
      <c r="P56" s="11">
        <f t="shared" ref="P56" si="18">($O56-$N56)/$N56</f>
        <v>0</v>
      </c>
      <c r="Q56" s="6">
        <v>378.44</v>
      </c>
      <c r="R56" s="11">
        <f t="shared" ref="R56" si="19">($Q56-$N56)/$N56</f>
        <v>0</v>
      </c>
      <c r="S56" s="18"/>
      <c r="T56" s="6"/>
    </row>
    <row r="57" spans="1:20" ht="18" x14ac:dyDescent="0.2">
      <c r="A57" s="18"/>
      <c r="B57" s="6" t="s">
        <v>59</v>
      </c>
      <c r="L57" s="18"/>
      <c r="M57" s="6" t="s">
        <v>59</v>
      </c>
      <c r="N57" s="6">
        <v>0</v>
      </c>
      <c r="O57" s="6">
        <v>0</v>
      </c>
      <c r="P57" s="6"/>
      <c r="Q57" s="6">
        <v>0</v>
      </c>
      <c r="R57" s="6"/>
      <c r="S57" s="18"/>
      <c r="T57" s="6"/>
    </row>
    <row r="58" spans="1:20" ht="18" x14ac:dyDescent="0.2">
      <c r="A58" s="18" t="s">
        <v>24</v>
      </c>
      <c r="B58" s="6" t="s">
        <v>57</v>
      </c>
      <c r="L58" s="18" t="s">
        <v>24</v>
      </c>
      <c r="M58" s="6" t="s">
        <v>57</v>
      </c>
      <c r="N58" s="6">
        <v>569.54</v>
      </c>
      <c r="O58" s="6">
        <v>569.54</v>
      </c>
      <c r="P58" s="6"/>
      <c r="Q58" s="6">
        <v>569.54</v>
      </c>
      <c r="R58" s="6"/>
      <c r="S58" s="18" t="s">
        <v>63</v>
      </c>
      <c r="T58" s="6"/>
    </row>
    <row r="59" spans="1:20" ht="18" x14ac:dyDescent="0.2">
      <c r="A59" s="18"/>
      <c r="B59" s="6" t="s">
        <v>58</v>
      </c>
      <c r="L59" s="18"/>
      <c r="M59" s="6" t="s">
        <v>58</v>
      </c>
      <c r="N59" s="6">
        <v>569.54</v>
      </c>
      <c r="O59" s="6">
        <v>569.54</v>
      </c>
      <c r="P59" s="11">
        <f t="shared" ref="P59" si="20">($O59-$N59)/$N59</f>
        <v>0</v>
      </c>
      <c r="Q59" s="6">
        <v>569.54</v>
      </c>
      <c r="R59" s="11">
        <f t="shared" ref="R59" si="21">($Q59-$N59)/$N59</f>
        <v>0</v>
      </c>
      <c r="S59" s="18"/>
      <c r="T59" s="6"/>
    </row>
    <row r="60" spans="1:20" ht="18" x14ac:dyDescent="0.2">
      <c r="A60" s="18"/>
      <c r="B60" s="6" t="s">
        <v>59</v>
      </c>
      <c r="L60" s="18"/>
      <c r="M60" s="6" t="s">
        <v>59</v>
      </c>
      <c r="N60" s="6">
        <v>0</v>
      </c>
      <c r="O60" s="6">
        <v>0</v>
      </c>
      <c r="P60" s="6"/>
      <c r="Q60" s="6">
        <v>0</v>
      </c>
      <c r="R60" s="6"/>
      <c r="S60" s="18"/>
      <c r="T60" s="6"/>
    </row>
    <row r="61" spans="1:20" ht="18" x14ac:dyDescent="0.2">
      <c r="A61" s="18" t="s">
        <v>25</v>
      </c>
      <c r="B61" s="6" t="s">
        <v>57</v>
      </c>
      <c r="L61" s="18" t="s">
        <v>25</v>
      </c>
      <c r="M61" s="6" t="s">
        <v>57</v>
      </c>
      <c r="N61" s="6">
        <v>514.91999999999996</v>
      </c>
      <c r="O61" s="6">
        <v>514.91999999999996</v>
      </c>
      <c r="P61" s="6"/>
      <c r="Q61" s="6">
        <v>514.91999999999996</v>
      </c>
      <c r="R61" s="6"/>
      <c r="S61" s="18" t="s">
        <v>63</v>
      </c>
      <c r="T61" s="6"/>
    </row>
    <row r="62" spans="1:20" ht="18" x14ac:dyDescent="0.2">
      <c r="A62" s="18"/>
      <c r="B62" s="6" t="s">
        <v>58</v>
      </c>
      <c r="L62" s="18"/>
      <c r="M62" s="6" t="s">
        <v>58</v>
      </c>
      <c r="N62" s="6">
        <v>514.91999999999996</v>
      </c>
      <c r="O62" s="6">
        <v>514.91999999999996</v>
      </c>
      <c r="P62" s="11">
        <f t="shared" ref="P62" si="22">($O62-$N62)/$N62</f>
        <v>0</v>
      </c>
      <c r="Q62" s="16">
        <v>518.79</v>
      </c>
      <c r="R62" s="11">
        <f t="shared" ref="R62" si="23">($Q62-$N62)/$N62</f>
        <v>7.5157305989279983E-3</v>
      </c>
      <c r="S62" s="18"/>
      <c r="T62" s="6"/>
    </row>
    <row r="63" spans="1:20" ht="18" x14ac:dyDescent="0.2">
      <c r="A63" s="18"/>
      <c r="B63" s="6" t="s">
        <v>59</v>
      </c>
      <c r="L63" s="18"/>
      <c r="M63" s="6" t="s">
        <v>59</v>
      </c>
      <c r="N63" s="6">
        <v>0</v>
      </c>
      <c r="O63" s="6">
        <v>0</v>
      </c>
      <c r="P63" s="6"/>
      <c r="Q63" s="6">
        <v>11.1</v>
      </c>
      <c r="R63" s="6"/>
      <c r="S63" s="18"/>
      <c r="T63" s="6"/>
    </row>
    <row r="64" spans="1:20" ht="18" x14ac:dyDescent="0.2">
      <c r="A64" s="18" t="s">
        <v>26</v>
      </c>
      <c r="B64" s="6" t="s">
        <v>57</v>
      </c>
      <c r="L64" s="18" t="s">
        <v>26</v>
      </c>
      <c r="M64" s="6" t="s">
        <v>57</v>
      </c>
      <c r="N64" s="6">
        <v>845.72</v>
      </c>
      <c r="O64" s="6">
        <v>845.72</v>
      </c>
      <c r="P64" s="6"/>
      <c r="Q64" s="6"/>
      <c r="R64" s="6"/>
      <c r="S64" s="6"/>
      <c r="T64" s="6"/>
    </row>
    <row r="65" spans="1:20" ht="18" x14ac:dyDescent="0.2">
      <c r="A65" s="18"/>
      <c r="B65" s="6" t="s">
        <v>58</v>
      </c>
      <c r="L65" s="18"/>
      <c r="M65" s="6" t="s">
        <v>58</v>
      </c>
      <c r="N65" s="6">
        <v>845.86</v>
      </c>
      <c r="O65" s="6">
        <v>845.73</v>
      </c>
      <c r="P65" s="11">
        <f t="shared" ref="P65" si="24">($O65-$N65)/$N65</f>
        <v>-1.5368973589009464E-4</v>
      </c>
      <c r="Q65" s="6"/>
      <c r="R65" s="11"/>
      <c r="S65" s="6"/>
      <c r="T65" s="6"/>
    </row>
    <row r="66" spans="1:20" ht="18" x14ac:dyDescent="0.2">
      <c r="A66" s="18"/>
      <c r="B66" s="6" t="s">
        <v>59</v>
      </c>
      <c r="L66" s="18"/>
      <c r="M66" s="6" t="s">
        <v>59</v>
      </c>
      <c r="N66" s="6">
        <v>0.41</v>
      </c>
      <c r="O66" s="6">
        <v>0.01</v>
      </c>
      <c r="P66" s="6"/>
      <c r="Q66" s="6"/>
      <c r="R66" s="6"/>
      <c r="S66" s="6"/>
      <c r="T66" s="6"/>
    </row>
    <row r="67" spans="1:20" ht="18" x14ac:dyDescent="0.2">
      <c r="A67" s="18" t="s">
        <v>27</v>
      </c>
      <c r="B67" s="6" t="s">
        <v>57</v>
      </c>
      <c r="L67" s="18" t="s">
        <v>27</v>
      </c>
      <c r="M67" s="6" t="s">
        <v>57</v>
      </c>
      <c r="N67" s="6">
        <v>528.47</v>
      </c>
      <c r="O67" s="6">
        <v>528.47</v>
      </c>
      <c r="P67" s="6"/>
      <c r="Q67" s="6">
        <v>528.47</v>
      </c>
      <c r="R67" s="6"/>
      <c r="S67" s="18" t="s">
        <v>63</v>
      </c>
      <c r="T67" s="6"/>
    </row>
    <row r="68" spans="1:20" ht="18" x14ac:dyDescent="0.2">
      <c r="A68" s="18"/>
      <c r="B68" s="6" t="s">
        <v>58</v>
      </c>
      <c r="L68" s="18"/>
      <c r="M68" s="6" t="s">
        <v>58</v>
      </c>
      <c r="N68" s="6">
        <v>529.66</v>
      </c>
      <c r="O68" s="6">
        <v>528.47</v>
      </c>
      <c r="P68" s="11">
        <f t="shared" ref="P68" si="25">($O68-$N68)/$N68</f>
        <v>-2.2467243137105708E-3</v>
      </c>
      <c r="Q68" s="6">
        <v>528.47</v>
      </c>
      <c r="R68" s="11">
        <f t="shared" ref="R68" si="26">($Q68-$N68)/$N68</f>
        <v>-2.2467243137105708E-3</v>
      </c>
      <c r="S68" s="18"/>
      <c r="T68" s="6"/>
    </row>
    <row r="69" spans="1:20" ht="18" x14ac:dyDescent="0.2">
      <c r="A69" s="18"/>
      <c r="B69" s="6" t="s">
        <v>59</v>
      </c>
      <c r="L69" s="18"/>
      <c r="M69" s="6" t="s">
        <v>59</v>
      </c>
      <c r="N69" s="6">
        <v>2.17</v>
      </c>
      <c r="O69" s="6">
        <v>0</v>
      </c>
      <c r="P69" s="6"/>
      <c r="Q69" s="6">
        <v>0</v>
      </c>
      <c r="R69" s="6"/>
      <c r="S69" s="18"/>
      <c r="T69" s="6"/>
    </row>
    <row r="70" spans="1:20" ht="18" x14ac:dyDescent="0.2">
      <c r="A70" s="18" t="s">
        <v>28</v>
      </c>
      <c r="B70" s="6" t="s">
        <v>57</v>
      </c>
      <c r="L70" s="18" t="s">
        <v>28</v>
      </c>
      <c r="M70" s="6" t="s">
        <v>57</v>
      </c>
      <c r="N70" s="6">
        <v>700.07</v>
      </c>
      <c r="O70" s="6">
        <v>692.66</v>
      </c>
      <c r="P70" s="6"/>
      <c r="Q70" s="6"/>
      <c r="R70" s="6"/>
      <c r="S70" s="6"/>
      <c r="T70" s="6"/>
    </row>
    <row r="71" spans="1:20" ht="18" x14ac:dyDescent="0.2">
      <c r="A71" s="18"/>
      <c r="B71" s="6" t="s">
        <v>58</v>
      </c>
      <c r="L71" s="18"/>
      <c r="M71" s="6" t="s">
        <v>58</v>
      </c>
      <c r="N71" s="6">
        <v>703.88</v>
      </c>
      <c r="O71" s="6">
        <v>696.39</v>
      </c>
      <c r="P71" s="11">
        <f t="shared" ref="P71" si="27">($O71-$N71)/$N71</f>
        <v>-1.0641018355401502E-2</v>
      </c>
      <c r="Q71" s="6"/>
      <c r="R71" s="11"/>
      <c r="S71" s="6"/>
      <c r="T71" s="6"/>
    </row>
    <row r="72" spans="1:20" ht="18" x14ac:dyDescent="0.2">
      <c r="A72" s="18"/>
      <c r="B72" s="6" t="s">
        <v>59</v>
      </c>
      <c r="L72" s="18"/>
      <c r="M72" s="6" t="s">
        <v>59</v>
      </c>
      <c r="N72" s="6">
        <v>2.08</v>
      </c>
      <c r="O72" s="6">
        <v>2.48</v>
      </c>
      <c r="P72" s="6"/>
      <c r="Q72" s="6"/>
      <c r="R72" s="6"/>
      <c r="S72" s="6"/>
      <c r="T72" s="6"/>
    </row>
    <row r="73" spans="1:20" ht="18" x14ac:dyDescent="0.2">
      <c r="A73" s="18" t="s">
        <v>29</v>
      </c>
      <c r="B73" s="6" t="s">
        <v>57</v>
      </c>
      <c r="L73" s="18" t="s">
        <v>29</v>
      </c>
      <c r="M73" s="6" t="s">
        <v>57</v>
      </c>
      <c r="N73" s="6">
        <v>831.11</v>
      </c>
      <c r="O73" s="6">
        <v>831.11</v>
      </c>
      <c r="P73" s="6"/>
      <c r="Q73" s="6"/>
      <c r="R73" s="6"/>
      <c r="S73" s="6"/>
      <c r="T73" s="6"/>
    </row>
    <row r="74" spans="1:20" ht="18" x14ac:dyDescent="0.2">
      <c r="A74" s="18"/>
      <c r="B74" s="6" t="s">
        <v>58</v>
      </c>
      <c r="L74" s="18"/>
      <c r="M74" s="6" t="s">
        <v>58</v>
      </c>
      <c r="N74" s="6">
        <v>835.48</v>
      </c>
      <c r="O74" s="6">
        <v>834.32</v>
      </c>
      <c r="P74" s="11">
        <f t="shared" ref="P74" si="28">($O74-$N74)/$N74</f>
        <v>-1.3884234212667786E-3</v>
      </c>
      <c r="Q74" s="6"/>
      <c r="R74" s="11"/>
      <c r="S74" s="6"/>
      <c r="T74" s="6"/>
    </row>
    <row r="75" spans="1:20" ht="18" x14ac:dyDescent="0.2">
      <c r="A75" s="18"/>
      <c r="B75" s="6" t="s">
        <v>59</v>
      </c>
      <c r="L75" s="18"/>
      <c r="M75" s="6" t="s">
        <v>59</v>
      </c>
      <c r="N75" s="6">
        <v>1.99</v>
      </c>
      <c r="O75" s="6">
        <v>1.74</v>
      </c>
      <c r="P75" s="6"/>
      <c r="Q75" s="6"/>
      <c r="R75" s="6"/>
      <c r="S75" s="6"/>
      <c r="T75" s="6"/>
    </row>
    <row r="76" spans="1:20" ht="18" x14ac:dyDescent="0.2">
      <c r="A76" s="18" t="s">
        <v>30</v>
      </c>
      <c r="B76" s="6" t="s">
        <v>57</v>
      </c>
      <c r="L76" s="18" t="s">
        <v>30</v>
      </c>
      <c r="M76" s="6" t="s">
        <v>57</v>
      </c>
      <c r="N76" s="6">
        <v>828.56</v>
      </c>
      <c r="O76" s="6">
        <v>828.56</v>
      </c>
      <c r="P76" s="6"/>
      <c r="Q76" s="6">
        <v>828.56</v>
      </c>
      <c r="R76" s="6"/>
      <c r="S76" s="18" t="s">
        <v>63</v>
      </c>
      <c r="T76" s="6"/>
    </row>
    <row r="77" spans="1:20" ht="18" x14ac:dyDescent="0.2">
      <c r="A77" s="18"/>
      <c r="B77" s="6" t="s">
        <v>58</v>
      </c>
      <c r="L77" s="18"/>
      <c r="M77" s="6" t="s">
        <v>58</v>
      </c>
      <c r="N77" s="6">
        <v>828.68</v>
      </c>
      <c r="O77" s="6">
        <v>828.56</v>
      </c>
      <c r="P77" s="11">
        <f t="shared" ref="P77" si="29">($O77-$N77)/$N77</f>
        <v>-1.4480861128542328E-4</v>
      </c>
      <c r="Q77" s="6">
        <v>828.56</v>
      </c>
      <c r="R77" s="11">
        <f t="shared" ref="R77" si="30">($Q77-$N77)/$N77</f>
        <v>-1.4480861128542328E-4</v>
      </c>
      <c r="S77" s="18"/>
      <c r="T77" s="6"/>
    </row>
    <row r="78" spans="1:20" ht="18" x14ac:dyDescent="0.2">
      <c r="A78" s="18"/>
      <c r="B78" s="6" t="s">
        <v>59</v>
      </c>
      <c r="L78" s="18"/>
      <c r="M78" s="6" t="s">
        <v>59</v>
      </c>
      <c r="N78" s="6">
        <v>0.28999999999999998</v>
      </c>
      <c r="O78" s="6">
        <v>0</v>
      </c>
      <c r="P78" s="6"/>
      <c r="Q78" s="6">
        <v>0.01</v>
      </c>
      <c r="R78" s="6"/>
      <c r="S78" s="18"/>
      <c r="T78" s="6"/>
    </row>
    <row r="79" spans="1:20" ht="18" x14ac:dyDescent="0.2">
      <c r="A79" s="18" t="s">
        <v>31</v>
      </c>
      <c r="B79" s="6" t="s">
        <v>57</v>
      </c>
      <c r="L79" s="18" t="s">
        <v>31</v>
      </c>
      <c r="M79" s="6" t="s">
        <v>57</v>
      </c>
      <c r="N79" s="6">
        <v>1049.7</v>
      </c>
      <c r="O79" s="6">
        <v>1054.8599999999999</v>
      </c>
      <c r="P79" s="6"/>
      <c r="Q79" s="6"/>
      <c r="R79" s="6"/>
      <c r="S79" s="6"/>
      <c r="T79" s="6"/>
    </row>
    <row r="80" spans="1:20" ht="18" x14ac:dyDescent="0.2">
      <c r="A80" s="18"/>
      <c r="B80" s="6" t="s">
        <v>58</v>
      </c>
      <c r="L80" s="18"/>
      <c r="M80" s="6" t="s">
        <v>58</v>
      </c>
      <c r="N80" s="6">
        <v>1071.3900000000001</v>
      </c>
      <c r="O80" s="16">
        <v>1074.32</v>
      </c>
      <c r="P80" s="11">
        <f t="shared" ref="P80" si="31">($O80-$N80)/$N80</f>
        <v>2.7347651182107694E-3</v>
      </c>
      <c r="Q80" s="6"/>
      <c r="R80" s="11"/>
      <c r="S80" s="6"/>
      <c r="T80" s="6"/>
    </row>
    <row r="81" spans="1:20" ht="18" x14ac:dyDescent="0.2">
      <c r="A81" s="18"/>
      <c r="B81" s="6" t="s">
        <v>59</v>
      </c>
      <c r="L81" s="18"/>
      <c r="M81" s="6" t="s">
        <v>59</v>
      </c>
      <c r="N81" s="6">
        <v>17.22</v>
      </c>
      <c r="O81" s="6">
        <v>7.09</v>
      </c>
      <c r="P81" s="6"/>
      <c r="Q81" s="6"/>
      <c r="R81" s="6"/>
      <c r="S81" s="6"/>
      <c r="T81" s="6"/>
    </row>
    <row r="82" spans="1:20" ht="18" x14ac:dyDescent="0.2">
      <c r="A82" s="18" t="s">
        <v>32</v>
      </c>
      <c r="B82" s="6" t="s">
        <v>57</v>
      </c>
      <c r="L82" s="18" t="s">
        <v>32</v>
      </c>
      <c r="M82" s="6" t="s">
        <v>57</v>
      </c>
      <c r="N82" s="6">
        <v>1037.56</v>
      </c>
      <c r="O82" s="6">
        <v>1033.8900000000001</v>
      </c>
      <c r="P82" s="6"/>
      <c r="Q82" s="6">
        <v>1032.07</v>
      </c>
      <c r="R82" s="6"/>
      <c r="S82" s="18" t="s">
        <v>63</v>
      </c>
      <c r="T82" s="6"/>
    </row>
    <row r="83" spans="1:20" ht="18" x14ac:dyDescent="0.2">
      <c r="A83" s="18"/>
      <c r="B83" s="6" t="s">
        <v>58</v>
      </c>
      <c r="L83" s="18"/>
      <c r="M83" s="6" t="s">
        <v>58</v>
      </c>
      <c r="N83" s="6">
        <v>1045.3699999999999</v>
      </c>
      <c r="O83" s="6">
        <v>1037.46</v>
      </c>
      <c r="P83" s="11">
        <f t="shared" ref="P83" si="32">($O83-$N83)/$N83</f>
        <v>-7.5666988721695243E-3</v>
      </c>
      <c r="Q83" s="6">
        <v>1039.9000000000001</v>
      </c>
      <c r="R83" s="11">
        <f t="shared" ref="R83" si="33">($Q83-$N83)/$N83</f>
        <v>-5.2325970708933687E-3</v>
      </c>
      <c r="S83" s="18"/>
      <c r="T83" s="6"/>
    </row>
    <row r="84" spans="1:20" ht="18" x14ac:dyDescent="0.2">
      <c r="A84" s="18"/>
      <c r="B84" s="6" t="s">
        <v>59</v>
      </c>
      <c r="L84" s="18"/>
      <c r="M84" s="6" t="s">
        <v>59</v>
      </c>
      <c r="N84" s="6">
        <v>4.29</v>
      </c>
      <c r="O84" s="6">
        <v>3.32</v>
      </c>
      <c r="P84" s="6"/>
      <c r="Q84" s="6">
        <v>5.0999999999999996</v>
      </c>
      <c r="R84" s="6"/>
      <c r="S84" s="18"/>
      <c r="T84" s="6"/>
    </row>
    <row r="85" spans="1:20" ht="18" x14ac:dyDescent="0.2">
      <c r="A85" s="18" t="s">
        <v>33</v>
      </c>
      <c r="B85" s="6" t="s">
        <v>57</v>
      </c>
      <c r="L85" s="18" t="s">
        <v>33</v>
      </c>
      <c r="M85" s="6" t="s">
        <v>57</v>
      </c>
      <c r="N85" s="6">
        <v>1310.6300000000001</v>
      </c>
      <c r="O85" s="6">
        <v>1308.8599999999999</v>
      </c>
      <c r="P85" s="6"/>
      <c r="Q85" s="6"/>
      <c r="R85" s="6"/>
      <c r="S85" s="6"/>
      <c r="T85" s="6"/>
    </row>
    <row r="86" spans="1:20" ht="18" x14ac:dyDescent="0.2">
      <c r="A86" s="18"/>
      <c r="B86" s="6" t="s">
        <v>58</v>
      </c>
      <c r="L86" s="18"/>
      <c r="M86" s="6" t="s">
        <v>58</v>
      </c>
      <c r="N86" s="6">
        <v>1317.9</v>
      </c>
      <c r="O86" s="6">
        <v>1314.3</v>
      </c>
      <c r="P86" s="11">
        <f t="shared" ref="P86" si="34">($O86-$N86)/$N86</f>
        <v>-2.7316184839518446E-3</v>
      </c>
      <c r="Q86" s="6"/>
      <c r="R86" s="6"/>
      <c r="S86" s="6"/>
      <c r="T86" s="6"/>
    </row>
    <row r="87" spans="1:20" ht="18" x14ac:dyDescent="0.2">
      <c r="A87" s="18"/>
      <c r="B87" s="6" t="s">
        <v>59</v>
      </c>
      <c r="L87" s="18"/>
      <c r="M87" s="6" t="s">
        <v>59</v>
      </c>
      <c r="N87" s="6">
        <v>4.3499999999999996</v>
      </c>
      <c r="O87" s="6">
        <v>3.26</v>
      </c>
      <c r="P87" s="6"/>
      <c r="Q87" s="6"/>
      <c r="R87" s="6"/>
      <c r="S87" s="6"/>
      <c r="T87" s="6"/>
    </row>
    <row r="88" spans="1:20" ht="18" x14ac:dyDescent="0.2">
      <c r="A88" s="18" t="s">
        <v>34</v>
      </c>
      <c r="B88" s="6" t="s">
        <v>57</v>
      </c>
      <c r="L88" s="18" t="s">
        <v>34</v>
      </c>
      <c r="M88" s="6" t="s">
        <v>57</v>
      </c>
      <c r="N88" s="6">
        <v>727.75</v>
      </c>
      <c r="O88" s="6">
        <v>727.75</v>
      </c>
      <c r="P88" s="6"/>
      <c r="Q88" s="6"/>
      <c r="R88" s="6"/>
      <c r="S88" s="6"/>
      <c r="T88" s="6"/>
    </row>
    <row r="89" spans="1:20" ht="18" x14ac:dyDescent="0.2">
      <c r="A89" s="18"/>
      <c r="B89" s="6" t="s">
        <v>58</v>
      </c>
      <c r="L89" s="18"/>
      <c r="M89" s="6" t="s">
        <v>58</v>
      </c>
      <c r="N89" s="6">
        <v>729.76</v>
      </c>
      <c r="O89" s="6">
        <v>727.75</v>
      </c>
      <c r="P89" s="11">
        <f t="shared" ref="P89" si="35">($O89-$N89)/$N89</f>
        <v>-2.7543301907476305E-3</v>
      </c>
      <c r="Q89" s="6"/>
      <c r="R89" s="6"/>
      <c r="S89" s="6"/>
      <c r="T89" s="6"/>
    </row>
    <row r="90" spans="1:20" ht="18" x14ac:dyDescent="0.2">
      <c r="A90" s="18"/>
      <c r="B90" s="6" t="s">
        <v>59</v>
      </c>
      <c r="L90" s="18"/>
      <c r="M90" s="6" t="s">
        <v>59</v>
      </c>
      <c r="N90" s="6">
        <v>1.33</v>
      </c>
      <c r="O90" s="6">
        <v>0</v>
      </c>
      <c r="P90" s="6"/>
      <c r="Q90" s="6"/>
      <c r="R90" s="6"/>
      <c r="S90" s="6"/>
      <c r="T90" s="6"/>
    </row>
    <row r="91" spans="1:20" ht="18" x14ac:dyDescent="0.2">
      <c r="A91" s="18" t="s">
        <v>35</v>
      </c>
      <c r="B91" s="6" t="s">
        <v>57</v>
      </c>
      <c r="L91" s="18" t="s">
        <v>35</v>
      </c>
      <c r="M91" s="6" t="s">
        <v>57</v>
      </c>
      <c r="N91" s="6">
        <v>242.74</v>
      </c>
      <c r="O91" s="6">
        <v>242.74</v>
      </c>
      <c r="P91" s="6"/>
      <c r="Q91" s="6"/>
      <c r="R91" s="6"/>
      <c r="S91" s="6"/>
      <c r="T91" s="6"/>
    </row>
    <row r="92" spans="1:20" ht="18" x14ac:dyDescent="0.2">
      <c r="A92" s="18"/>
      <c r="B92" s="6" t="s">
        <v>58</v>
      </c>
      <c r="L92" s="18"/>
      <c r="M92" s="6" t="s">
        <v>58</v>
      </c>
      <c r="N92" s="6">
        <v>243.61</v>
      </c>
      <c r="O92" s="6">
        <v>242.74</v>
      </c>
      <c r="P92" s="11">
        <f t="shared" ref="P92" si="36">($O92-$N92)/$N92</f>
        <v>-3.5712819670785457E-3</v>
      </c>
      <c r="Q92" s="6"/>
      <c r="R92" s="6"/>
      <c r="S92" s="6"/>
      <c r="T92" s="6"/>
    </row>
    <row r="93" spans="1:20" ht="18" x14ac:dyDescent="0.2">
      <c r="A93" s="18"/>
      <c r="B93" s="6" t="s">
        <v>59</v>
      </c>
      <c r="L93" s="18"/>
      <c r="M93" s="6" t="s">
        <v>59</v>
      </c>
      <c r="N93" s="6">
        <v>1.4</v>
      </c>
      <c r="O93" s="6">
        <v>0</v>
      </c>
      <c r="P93" s="6"/>
      <c r="Q93" s="6"/>
      <c r="R93" s="6"/>
      <c r="S93" s="6"/>
      <c r="T93" s="6"/>
    </row>
    <row r="94" spans="1:20" ht="18" x14ac:dyDescent="0.2">
      <c r="A94" s="18" t="s">
        <v>36</v>
      </c>
      <c r="B94" s="6" t="s">
        <v>57</v>
      </c>
      <c r="L94" s="18" t="s">
        <v>36</v>
      </c>
      <c r="M94" s="6" t="s">
        <v>57</v>
      </c>
      <c r="N94" s="6">
        <v>1190.03</v>
      </c>
      <c r="O94" s="6">
        <v>1163.55</v>
      </c>
      <c r="P94" s="6"/>
      <c r="Q94" s="6"/>
      <c r="R94" s="6"/>
      <c r="S94" s="6"/>
      <c r="T94" s="6"/>
    </row>
    <row r="95" spans="1:20" ht="18" x14ac:dyDescent="0.2">
      <c r="A95" s="18"/>
      <c r="B95" s="6" t="s">
        <v>58</v>
      </c>
      <c r="L95" s="18"/>
      <c r="M95" s="6" t="s">
        <v>58</v>
      </c>
      <c r="N95" s="6">
        <v>1196.4100000000001</v>
      </c>
      <c r="O95" s="6">
        <v>1182.5</v>
      </c>
      <c r="P95" s="11">
        <f t="shared" ref="P95" si="37">($O95-$N95)/$N95</f>
        <v>-1.162644912697159E-2</v>
      </c>
      <c r="Q95" s="6"/>
      <c r="R95" s="6"/>
      <c r="S95" s="6"/>
      <c r="T95" s="6"/>
    </row>
    <row r="96" spans="1:20" ht="18" x14ac:dyDescent="0.2">
      <c r="A96" s="18"/>
      <c r="B96" s="6" t="s">
        <v>59</v>
      </c>
      <c r="L96" s="18"/>
      <c r="M96" s="6" t="s">
        <v>59</v>
      </c>
      <c r="N96" s="6">
        <v>8.77</v>
      </c>
      <c r="O96" s="6">
        <v>16.760000000000002</v>
      </c>
      <c r="P96" s="6"/>
      <c r="Q96" s="6"/>
      <c r="R96" s="6"/>
      <c r="S96" s="6"/>
      <c r="T96" s="6"/>
    </row>
    <row r="97" spans="1:20" ht="18" x14ac:dyDescent="0.2">
      <c r="A97" s="18" t="s">
        <v>37</v>
      </c>
      <c r="B97" s="6" t="s">
        <v>57</v>
      </c>
      <c r="L97" s="18" t="s">
        <v>37</v>
      </c>
      <c r="M97" s="6" t="s">
        <v>57</v>
      </c>
      <c r="N97" s="6">
        <v>15747.83</v>
      </c>
      <c r="O97" s="6">
        <v>15796.01</v>
      </c>
      <c r="P97" s="6"/>
      <c r="Q97" s="6"/>
      <c r="R97" s="6"/>
      <c r="S97" s="6"/>
      <c r="T97" s="6"/>
    </row>
    <row r="98" spans="1:20" ht="18" x14ac:dyDescent="0.2">
      <c r="A98" s="18"/>
      <c r="B98" s="6" t="s">
        <v>58</v>
      </c>
      <c r="L98" s="18"/>
      <c r="M98" s="6" t="s">
        <v>58</v>
      </c>
      <c r="N98" s="6">
        <v>15957.7</v>
      </c>
      <c r="O98" s="16">
        <v>15983.29</v>
      </c>
      <c r="P98" s="11">
        <f t="shared" ref="P98" si="38">($O98-$N98)/$N98</f>
        <v>1.6036145559823875E-3</v>
      </c>
      <c r="Q98" s="6"/>
      <c r="R98" s="6"/>
      <c r="S98" s="6"/>
      <c r="T98" s="6"/>
    </row>
    <row r="99" spans="1:20" ht="18" x14ac:dyDescent="0.2">
      <c r="A99" s="18"/>
      <c r="B99" s="6" t="s">
        <v>59</v>
      </c>
      <c r="L99" s="18"/>
      <c r="M99" s="6" t="s">
        <v>59</v>
      </c>
      <c r="N99" s="6">
        <v>103.91</v>
      </c>
      <c r="O99" s="6">
        <v>105.5</v>
      </c>
      <c r="P99" s="6"/>
      <c r="Q99" s="6"/>
      <c r="R99" s="6"/>
      <c r="S99" s="6"/>
      <c r="T99" s="6"/>
    </row>
    <row r="100" spans="1:20" ht="18" x14ac:dyDescent="0.2">
      <c r="A100" s="18" t="s">
        <v>38</v>
      </c>
      <c r="B100" s="6" t="s">
        <v>57</v>
      </c>
      <c r="L100" s="18" t="s">
        <v>38</v>
      </c>
      <c r="M100" s="6" t="s">
        <v>57</v>
      </c>
      <c r="N100" s="6">
        <v>11078.8</v>
      </c>
      <c r="O100" s="6">
        <v>11045.58</v>
      </c>
      <c r="P100" s="6"/>
      <c r="Q100" s="6"/>
      <c r="R100" s="6"/>
      <c r="S100" s="6"/>
      <c r="T100" s="6"/>
    </row>
    <row r="101" spans="1:20" ht="18" x14ac:dyDescent="0.2">
      <c r="A101" s="18"/>
      <c r="B101" s="6" t="s">
        <v>58</v>
      </c>
      <c r="L101" s="18"/>
      <c r="M101" s="6" t="s">
        <v>58</v>
      </c>
      <c r="N101" s="6">
        <v>11171.52</v>
      </c>
      <c r="O101" s="6">
        <v>11126.15</v>
      </c>
      <c r="P101" s="11">
        <f t="shared" ref="P101" si="39">($O101-$N101)/$N101</f>
        <v>-4.0612199593252126E-3</v>
      </c>
      <c r="Q101" s="6"/>
      <c r="R101" s="6"/>
      <c r="S101" s="6"/>
      <c r="T101" s="6"/>
    </row>
    <row r="102" spans="1:20" ht="18" x14ac:dyDescent="0.2">
      <c r="A102" s="18"/>
      <c r="B102" s="6" t="s">
        <v>59</v>
      </c>
      <c r="L102" s="18"/>
      <c r="M102" s="6" t="s">
        <v>59</v>
      </c>
      <c r="N102" s="6">
        <v>65.67</v>
      </c>
      <c r="O102" s="6">
        <v>31.91</v>
      </c>
      <c r="P102" s="6"/>
      <c r="Q102" s="6"/>
      <c r="R102" s="6"/>
      <c r="S102" s="6"/>
      <c r="T102" s="6"/>
    </row>
    <row r="103" spans="1:20" ht="18" x14ac:dyDescent="0.2">
      <c r="A103" s="18" t="s">
        <v>39</v>
      </c>
      <c r="B103" s="6" t="s">
        <v>57</v>
      </c>
      <c r="L103" s="18" t="s">
        <v>39</v>
      </c>
      <c r="M103" s="6" t="s">
        <v>57</v>
      </c>
      <c r="N103" s="6">
        <v>26206.57</v>
      </c>
      <c r="O103" s="6">
        <v>26155.94</v>
      </c>
      <c r="P103" s="6"/>
      <c r="Q103" s="6"/>
      <c r="R103" s="6"/>
      <c r="S103" s="6"/>
      <c r="T103" s="6"/>
    </row>
    <row r="104" spans="1:20" ht="18" x14ac:dyDescent="0.2">
      <c r="A104" s="18"/>
      <c r="B104" s="6" t="s">
        <v>58</v>
      </c>
      <c r="L104" s="18"/>
      <c r="M104" s="6" t="s">
        <v>58</v>
      </c>
      <c r="N104" s="6">
        <v>26283.81</v>
      </c>
      <c r="O104" s="6">
        <v>26246.03</v>
      </c>
      <c r="P104" s="11">
        <f t="shared" ref="P104" si="40">($O104-$N104)/$N104</f>
        <v>-1.4373867411156325E-3</v>
      </c>
      <c r="Q104" s="6"/>
      <c r="R104" s="6"/>
      <c r="S104" s="6"/>
      <c r="T104" s="6"/>
    </row>
    <row r="105" spans="1:20" ht="18" x14ac:dyDescent="0.2">
      <c r="A105" s="18"/>
      <c r="B105" s="6" t="s">
        <v>59</v>
      </c>
      <c r="L105" s="18"/>
      <c r="M105" s="6" t="s">
        <v>59</v>
      </c>
      <c r="N105" s="6">
        <v>47.97</v>
      </c>
      <c r="O105" s="6">
        <v>68.040000000000006</v>
      </c>
      <c r="P105" s="6"/>
      <c r="Q105" s="6"/>
      <c r="R105" s="6"/>
      <c r="S105" s="6"/>
      <c r="T105" s="6"/>
    </row>
    <row r="106" spans="1:20" ht="18" x14ac:dyDescent="0.2">
      <c r="A106" s="18" t="s">
        <v>40</v>
      </c>
      <c r="B106" s="6" t="s">
        <v>57</v>
      </c>
      <c r="L106" s="18" t="s">
        <v>40</v>
      </c>
      <c r="M106" s="6" t="s">
        <v>57</v>
      </c>
      <c r="N106" s="6">
        <v>24504.6</v>
      </c>
      <c r="O106" s="6">
        <v>24432.67</v>
      </c>
      <c r="P106" s="6"/>
      <c r="Q106" s="6"/>
      <c r="R106" s="6"/>
      <c r="S106" s="6"/>
      <c r="T106" s="6"/>
    </row>
    <row r="107" spans="1:20" ht="18" x14ac:dyDescent="0.2">
      <c r="A107" s="18"/>
      <c r="B107" s="6" t="s">
        <v>58</v>
      </c>
      <c r="L107" s="18"/>
      <c r="M107" s="6" t="s">
        <v>58</v>
      </c>
      <c r="N107" s="6">
        <v>24571.46</v>
      </c>
      <c r="O107" s="6">
        <v>24534.33</v>
      </c>
      <c r="P107" s="11">
        <f t="shared" ref="P107" si="41">($O107-$N107)/$N107</f>
        <v>-1.5111027183568816E-3</v>
      </c>
      <c r="Q107" s="6"/>
      <c r="R107" s="6"/>
      <c r="S107" s="6"/>
      <c r="T107" s="6"/>
    </row>
    <row r="108" spans="1:20" ht="18" x14ac:dyDescent="0.2">
      <c r="A108" s="18"/>
      <c r="B108" s="6" t="s">
        <v>59</v>
      </c>
      <c r="L108" s="18"/>
      <c r="M108" s="6" t="s">
        <v>59</v>
      </c>
      <c r="N108" s="6">
        <v>33</v>
      </c>
      <c r="O108" s="6">
        <v>61.36</v>
      </c>
      <c r="P108" s="6"/>
      <c r="Q108" s="6"/>
      <c r="R108" s="6"/>
      <c r="S108" s="6"/>
      <c r="T108" s="6"/>
    </row>
    <row r="109" spans="1:20" ht="18" x14ac:dyDescent="0.2">
      <c r="A109" s="18" t="s">
        <v>41</v>
      </c>
      <c r="B109" s="6" t="s">
        <v>57</v>
      </c>
      <c r="L109" s="18" t="s">
        <v>41</v>
      </c>
      <c r="M109" s="6" t="s">
        <v>57</v>
      </c>
      <c r="N109" s="6">
        <v>51140.89</v>
      </c>
      <c r="O109" s="6">
        <v>51030.7</v>
      </c>
      <c r="P109" s="6"/>
      <c r="Q109" s="6"/>
      <c r="R109" s="6"/>
      <c r="S109" s="6"/>
      <c r="T109" s="6"/>
    </row>
    <row r="110" spans="1:20" ht="18" x14ac:dyDescent="0.2">
      <c r="A110" s="18"/>
      <c r="B110" s="6" t="s">
        <v>58</v>
      </c>
      <c r="L110" s="18"/>
      <c r="M110" s="6" t="s">
        <v>58</v>
      </c>
      <c r="N110" s="6">
        <v>51243.11</v>
      </c>
      <c r="O110" s="6">
        <v>51230.42</v>
      </c>
      <c r="P110" s="11">
        <f t="shared" ref="P110" si="42">($O110-$N110)/$N110</f>
        <v>-2.4764304898750933E-4</v>
      </c>
      <c r="Q110" s="6"/>
      <c r="R110" s="6"/>
      <c r="S110" s="6"/>
      <c r="T110" s="6"/>
    </row>
    <row r="111" spans="1:20" ht="18" x14ac:dyDescent="0.2">
      <c r="A111" s="18"/>
      <c r="B111" s="6" t="s">
        <v>59</v>
      </c>
      <c r="L111" s="18"/>
      <c r="M111" s="6" t="s">
        <v>59</v>
      </c>
      <c r="N111" s="6">
        <v>69.77</v>
      </c>
      <c r="O111" s="6">
        <v>95.27</v>
      </c>
      <c r="P111" s="6"/>
      <c r="Q111" s="6"/>
      <c r="R111" s="6"/>
      <c r="S111" s="6"/>
      <c r="T111" s="6"/>
    </row>
    <row r="112" spans="1:20" ht="18" x14ac:dyDescent="0.2">
      <c r="A112" s="18" t="s">
        <v>42</v>
      </c>
      <c r="B112" s="6" t="s">
        <v>57</v>
      </c>
      <c r="L112" s="18" t="s">
        <v>42</v>
      </c>
      <c r="M112" s="6" t="s">
        <v>57</v>
      </c>
      <c r="N112" s="6">
        <v>69015.41</v>
      </c>
      <c r="O112" s="6">
        <v>68691.69</v>
      </c>
      <c r="P112" s="6"/>
      <c r="Q112" s="6"/>
      <c r="R112" s="6"/>
      <c r="S112" s="6"/>
      <c r="T112" s="6"/>
    </row>
    <row r="113" spans="1:20" ht="18" x14ac:dyDescent="0.2">
      <c r="A113" s="18"/>
      <c r="B113" s="6" t="s">
        <v>58</v>
      </c>
      <c r="L113" s="18"/>
      <c r="M113" s="6" t="s">
        <v>58</v>
      </c>
      <c r="N113" s="6">
        <v>69181.119999999995</v>
      </c>
      <c r="O113" s="6">
        <v>68913.070000000007</v>
      </c>
      <c r="P113" s="11">
        <f t="shared" ref="P113" si="43">($O113-$N113)/$N113</f>
        <v>-3.8746120328781663E-3</v>
      </c>
      <c r="Q113" s="6"/>
      <c r="R113" s="6"/>
      <c r="S113" s="6"/>
      <c r="T113" s="6"/>
    </row>
    <row r="114" spans="1:20" ht="18" x14ac:dyDescent="0.2">
      <c r="A114" s="18"/>
      <c r="B114" s="6" t="s">
        <v>59</v>
      </c>
      <c r="L114" s="18"/>
      <c r="M114" s="6" t="s">
        <v>59</v>
      </c>
      <c r="N114" s="6">
        <v>89.5</v>
      </c>
      <c r="O114" s="6">
        <v>153.97</v>
      </c>
      <c r="P114" s="6"/>
      <c r="Q114" s="6"/>
      <c r="R114" s="6"/>
      <c r="S114" s="6"/>
      <c r="T114" s="6"/>
    </row>
    <row r="115" spans="1:20" ht="18" x14ac:dyDescent="0.2">
      <c r="A115" s="18" t="s">
        <v>43</v>
      </c>
      <c r="B115" s="6" t="s">
        <v>57</v>
      </c>
      <c r="L115" s="18" t="s">
        <v>43</v>
      </c>
      <c r="M115" s="6" t="s">
        <v>57</v>
      </c>
      <c r="N115" s="6">
        <v>78250.92</v>
      </c>
      <c r="O115" s="6">
        <v>77841.77</v>
      </c>
      <c r="P115" s="6"/>
      <c r="Q115" s="6"/>
      <c r="R115" s="6"/>
      <c r="S115" s="6"/>
      <c r="T115" s="6"/>
    </row>
    <row r="116" spans="1:20" ht="18" x14ac:dyDescent="0.2">
      <c r="A116" s="18"/>
      <c r="B116" s="6" t="s">
        <v>58</v>
      </c>
      <c r="L116" s="18"/>
      <c r="M116" s="6" t="s">
        <v>58</v>
      </c>
      <c r="N116" s="6">
        <v>78347.070000000007</v>
      </c>
      <c r="O116" s="6">
        <v>77994.47</v>
      </c>
      <c r="P116" s="11">
        <f t="shared" ref="P116" si="44">($O116-$N116)/$N116</f>
        <v>-4.5004873826169347E-3</v>
      </c>
      <c r="Q116" s="6"/>
      <c r="R116" s="6"/>
      <c r="S116" s="6"/>
      <c r="T116" s="6"/>
    </row>
    <row r="117" spans="1:20" ht="18" x14ac:dyDescent="0.2">
      <c r="A117" s="18"/>
      <c r="B117" s="6" t="s">
        <v>59</v>
      </c>
      <c r="L117" s="18"/>
      <c r="M117" s="6" t="s">
        <v>59</v>
      </c>
      <c r="N117" s="6">
        <v>52.22</v>
      </c>
      <c r="O117" s="6">
        <v>92.05</v>
      </c>
      <c r="P117" s="6"/>
      <c r="Q117" s="6"/>
      <c r="R117" s="6"/>
      <c r="S117" s="6"/>
      <c r="T117" s="6"/>
    </row>
    <row r="118" spans="1:20" ht="18" x14ac:dyDescent="0.2">
      <c r="A118" s="18" t="s">
        <v>44</v>
      </c>
      <c r="B118" s="6" t="s">
        <v>57</v>
      </c>
      <c r="L118" s="18" t="s">
        <v>44</v>
      </c>
      <c r="M118" s="6" t="s">
        <v>57</v>
      </c>
      <c r="N118" s="6">
        <v>159246.19</v>
      </c>
      <c r="O118" s="6">
        <v>158679.48000000001</v>
      </c>
      <c r="P118" s="6"/>
      <c r="Q118" s="6"/>
      <c r="R118" s="6"/>
      <c r="S118" s="6"/>
      <c r="T118" s="6"/>
    </row>
    <row r="119" spans="1:20" ht="18" x14ac:dyDescent="0.2">
      <c r="A119" s="18"/>
      <c r="B119" s="6" t="s">
        <v>58</v>
      </c>
      <c r="L119" s="18"/>
      <c r="M119" s="6" t="s">
        <v>58</v>
      </c>
      <c r="N119" s="6">
        <v>159452.51</v>
      </c>
      <c r="O119" s="6">
        <v>158871.85</v>
      </c>
      <c r="P119" s="11">
        <f t="shared" ref="P119" si="45">($O119-$N119)/$N119</f>
        <v>-3.6415858238920381E-3</v>
      </c>
      <c r="Q119" s="6"/>
      <c r="R119" s="6"/>
      <c r="S119" s="6"/>
      <c r="T119" s="6"/>
    </row>
    <row r="120" spans="1:20" ht="18" x14ac:dyDescent="0.2">
      <c r="A120" s="18"/>
      <c r="B120" s="6" t="s">
        <v>59</v>
      </c>
      <c r="L120" s="18"/>
      <c r="M120" s="6" t="s">
        <v>59</v>
      </c>
      <c r="N120" s="6">
        <v>89.25</v>
      </c>
      <c r="O120" s="6">
        <v>124.56</v>
      </c>
      <c r="P120" s="6"/>
      <c r="Q120" s="6"/>
      <c r="R120" s="6"/>
      <c r="S120" s="6"/>
      <c r="T120" s="6"/>
    </row>
    <row r="121" spans="1:20" ht="18" x14ac:dyDescent="0.2">
      <c r="A121" s="18" t="s">
        <v>45</v>
      </c>
      <c r="B121" s="6" t="s">
        <v>57</v>
      </c>
      <c r="L121" s="18" t="s">
        <v>45</v>
      </c>
      <c r="M121" s="6" t="s">
        <v>57</v>
      </c>
      <c r="N121" s="6">
        <v>330830.19</v>
      </c>
      <c r="O121" s="6">
        <v>329919.89</v>
      </c>
      <c r="P121" s="6"/>
      <c r="Q121" s="6"/>
      <c r="R121" s="6"/>
      <c r="S121" s="6"/>
      <c r="T121" s="6"/>
    </row>
    <row r="122" spans="1:20" ht="18" x14ac:dyDescent="0.2">
      <c r="A122" s="18"/>
      <c r="B122" s="6" t="s">
        <v>58</v>
      </c>
      <c r="L122" s="18"/>
      <c r="M122" s="6" t="s">
        <v>58</v>
      </c>
      <c r="N122" s="6">
        <v>331023.21999999997</v>
      </c>
      <c r="O122" s="6">
        <v>330241.19</v>
      </c>
      <c r="P122" s="11">
        <f t="shared" ref="P122" si="46">($O122-$N122)/$N122</f>
        <v>-2.3624626695371094E-3</v>
      </c>
      <c r="Q122" s="6"/>
      <c r="R122" s="6"/>
      <c r="S122" s="6"/>
      <c r="T122" s="6"/>
    </row>
    <row r="123" spans="1:20" ht="18" x14ac:dyDescent="0.2">
      <c r="A123" s="18"/>
      <c r="B123" s="6" t="s">
        <v>59</v>
      </c>
      <c r="L123" s="18"/>
      <c r="M123" s="6" t="s">
        <v>59</v>
      </c>
      <c r="N123" s="6">
        <v>119.64</v>
      </c>
      <c r="O123" s="6">
        <v>225</v>
      </c>
      <c r="P123" s="6"/>
      <c r="Q123" s="6"/>
      <c r="R123" s="6"/>
      <c r="S123" s="6"/>
      <c r="T123" s="6"/>
    </row>
    <row r="124" spans="1:20" ht="18" x14ac:dyDescent="0.2">
      <c r="A124" s="18" t="s">
        <v>46</v>
      </c>
      <c r="B124" s="6" t="s">
        <v>57</v>
      </c>
      <c r="L124" s="18" t="s">
        <v>46</v>
      </c>
      <c r="M124" s="6" t="s">
        <v>57</v>
      </c>
      <c r="N124" s="6">
        <v>74409.5</v>
      </c>
      <c r="O124" s="6">
        <v>73795.070000000007</v>
      </c>
      <c r="P124" s="6"/>
      <c r="Q124" s="6"/>
      <c r="R124" s="6"/>
      <c r="S124" s="6"/>
      <c r="T124" s="6"/>
    </row>
    <row r="125" spans="1:20" ht="18" x14ac:dyDescent="0.2">
      <c r="A125" s="18"/>
      <c r="B125" s="6" t="s">
        <v>58</v>
      </c>
      <c r="L125" s="18"/>
      <c r="M125" s="6" t="s">
        <v>58</v>
      </c>
      <c r="N125" s="6">
        <v>74582.92</v>
      </c>
      <c r="O125" s="6">
        <v>73946.399999999994</v>
      </c>
      <c r="P125" s="11">
        <f t="shared" ref="P125" si="47">($O125-$N125)/$N125</f>
        <v>-8.5343936654666257E-3</v>
      </c>
      <c r="Q125" s="6"/>
      <c r="R125" s="6"/>
      <c r="S125" s="6"/>
      <c r="T125" s="6"/>
    </row>
    <row r="126" spans="1:20" x14ac:dyDescent="0.2">
      <c r="A126" s="18"/>
      <c r="B126" s="6" t="s">
        <v>59</v>
      </c>
      <c r="L126" s="18"/>
      <c r="M126" s="6" t="s">
        <v>59</v>
      </c>
      <c r="N126" s="6">
        <v>144.79</v>
      </c>
      <c r="O126" s="6">
        <v>142.51</v>
      </c>
      <c r="P126" s="6"/>
      <c r="Q126" s="6"/>
      <c r="R126" s="6"/>
      <c r="S126" s="6"/>
      <c r="T126" s="6"/>
    </row>
    <row r="127" spans="1:20" ht="16" customHeight="1" x14ac:dyDescent="0.2">
      <c r="A127" s="13"/>
    </row>
    <row r="128" spans="1:20" ht="16" customHeight="1" x14ac:dyDescent="0.2">
      <c r="A128" s="13"/>
    </row>
    <row r="129" spans="1:1" ht="16" customHeight="1" x14ac:dyDescent="0.2">
      <c r="A129" s="13"/>
    </row>
    <row r="130" spans="1:1" ht="16" customHeight="1" x14ac:dyDescent="0.2">
      <c r="A130" s="13"/>
    </row>
    <row r="131" spans="1:1" ht="16" customHeight="1" x14ac:dyDescent="0.2">
      <c r="A131" s="13"/>
    </row>
    <row r="132" spans="1:1" ht="16" customHeight="1" x14ac:dyDescent="0.2">
      <c r="A132" s="13"/>
    </row>
    <row r="133" spans="1:1" ht="16" customHeight="1" x14ac:dyDescent="0.2">
      <c r="A133" s="13"/>
    </row>
    <row r="134" spans="1:1" ht="16" customHeight="1" x14ac:dyDescent="0.2">
      <c r="A134" s="13"/>
    </row>
    <row r="135" spans="1:1" ht="16" customHeight="1" x14ac:dyDescent="0.2">
      <c r="A135" s="13"/>
    </row>
    <row r="136" spans="1:1" ht="16" customHeight="1" x14ac:dyDescent="0.2">
      <c r="A136" s="13"/>
    </row>
    <row r="137" spans="1:1" ht="16" customHeight="1" x14ac:dyDescent="0.2">
      <c r="A137" s="13"/>
    </row>
    <row r="138" spans="1:1" ht="16" customHeight="1" x14ac:dyDescent="0.2">
      <c r="A138" s="13"/>
    </row>
  </sheetData>
  <mergeCells count="106">
    <mergeCell ref="S61:S63"/>
    <mergeCell ref="S67:S69"/>
    <mergeCell ref="S76:S78"/>
    <mergeCell ref="S82:S84"/>
    <mergeCell ref="S4:S6"/>
    <mergeCell ref="S7:S9"/>
    <mergeCell ref="S10:S12"/>
    <mergeCell ref="S13:S15"/>
    <mergeCell ref="S16:S18"/>
    <mergeCell ref="S22:S24"/>
    <mergeCell ref="S28:S30"/>
    <mergeCell ref="S55:S57"/>
    <mergeCell ref="S58:S60"/>
    <mergeCell ref="A52:A54"/>
    <mergeCell ref="A31:A33"/>
    <mergeCell ref="A34:A36"/>
    <mergeCell ref="A37:A39"/>
    <mergeCell ref="A40:A42"/>
    <mergeCell ref="A43:A45"/>
    <mergeCell ref="L34:L36"/>
    <mergeCell ref="L37:L39"/>
    <mergeCell ref="L40:L42"/>
    <mergeCell ref="L43:L45"/>
    <mergeCell ref="L46:L48"/>
    <mergeCell ref="L49:L51"/>
    <mergeCell ref="L52:L54"/>
    <mergeCell ref="N2:N3"/>
    <mergeCell ref="A55:A57"/>
    <mergeCell ref="L4:L6"/>
    <mergeCell ref="L7:L9"/>
    <mergeCell ref="L10:L12"/>
    <mergeCell ref="L13:L15"/>
    <mergeCell ref="L16:L18"/>
    <mergeCell ref="L19:L21"/>
    <mergeCell ref="L22:L24"/>
    <mergeCell ref="L25:L27"/>
    <mergeCell ref="L28:L30"/>
    <mergeCell ref="L31:L33"/>
    <mergeCell ref="A28:A30"/>
    <mergeCell ref="A4:A6"/>
    <mergeCell ref="A7:A9"/>
    <mergeCell ref="A10:A12"/>
    <mergeCell ref="A13:A15"/>
    <mergeCell ref="M2:M3"/>
    <mergeCell ref="A16:A18"/>
    <mergeCell ref="A19:A21"/>
    <mergeCell ref="A22:A24"/>
    <mergeCell ref="A25:A27"/>
    <mergeCell ref="A46:A48"/>
    <mergeCell ref="A49:A51"/>
    <mergeCell ref="A73:A75"/>
    <mergeCell ref="A76:A78"/>
    <mergeCell ref="A79:A81"/>
    <mergeCell ref="A82:A84"/>
    <mergeCell ref="A85:A87"/>
    <mergeCell ref="A58:A60"/>
    <mergeCell ref="A61:A63"/>
    <mergeCell ref="A64:A66"/>
    <mergeCell ref="A67:A69"/>
    <mergeCell ref="A70:A72"/>
    <mergeCell ref="A118:A120"/>
    <mergeCell ref="A121:A123"/>
    <mergeCell ref="A124:A126"/>
    <mergeCell ref="A103:A105"/>
    <mergeCell ref="A106:A108"/>
    <mergeCell ref="A109:A111"/>
    <mergeCell ref="A112:A114"/>
    <mergeCell ref="A115:A117"/>
    <mergeCell ref="A88:A90"/>
    <mergeCell ref="A91:A93"/>
    <mergeCell ref="A94:A96"/>
    <mergeCell ref="A97:A99"/>
    <mergeCell ref="A100:A102"/>
    <mergeCell ref="L82:L84"/>
    <mergeCell ref="L55:L57"/>
    <mergeCell ref="L58:L60"/>
    <mergeCell ref="L61:L63"/>
    <mergeCell ref="L64:L66"/>
    <mergeCell ref="L67:L69"/>
    <mergeCell ref="H3:J3"/>
    <mergeCell ref="H9:J15"/>
    <mergeCell ref="I20:J24"/>
    <mergeCell ref="H32:J40"/>
    <mergeCell ref="O3:P3"/>
    <mergeCell ref="O2:R2"/>
    <mergeCell ref="O1:R1"/>
    <mergeCell ref="Q3:R3"/>
    <mergeCell ref="L115:L117"/>
    <mergeCell ref="L118:L120"/>
    <mergeCell ref="L121:L123"/>
    <mergeCell ref="L124:L126"/>
    <mergeCell ref="L2:L3"/>
    <mergeCell ref="L100:L102"/>
    <mergeCell ref="L103:L105"/>
    <mergeCell ref="L106:L108"/>
    <mergeCell ref="L109:L111"/>
    <mergeCell ref="L112:L114"/>
    <mergeCell ref="L85:L87"/>
    <mergeCell ref="L88:L90"/>
    <mergeCell ref="L91:L93"/>
    <mergeCell ref="L94:L96"/>
    <mergeCell ref="L97:L99"/>
    <mergeCell ref="L70:L72"/>
    <mergeCell ref="L73:L75"/>
    <mergeCell ref="L76:L78"/>
    <mergeCell ref="L79:L8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B10ED7-C9A2-A346-92B6-51B66C9CBE78}">
  <dimension ref="A1:G27"/>
  <sheetViews>
    <sheetView zoomScale="130" zoomScaleNormal="130" workbookViewId="0">
      <selection activeCell="I5" sqref="I5"/>
    </sheetView>
  </sheetViews>
  <sheetFormatPr baseColWidth="10" defaultRowHeight="16" x14ac:dyDescent="0.2"/>
  <cols>
    <col min="1" max="1" width="19.6640625" customWidth="1"/>
    <col min="2" max="2" width="19.1640625" customWidth="1"/>
    <col min="3" max="3" width="19.33203125" customWidth="1"/>
    <col min="4" max="5" width="13.33203125" customWidth="1"/>
    <col min="6" max="6" width="13.83203125" customWidth="1"/>
    <col min="7" max="7" width="14.83203125" customWidth="1"/>
  </cols>
  <sheetData>
    <row r="1" spans="1:7" ht="71" customHeight="1" x14ac:dyDescent="0.2">
      <c r="A1" s="18" t="s">
        <v>50</v>
      </c>
      <c r="B1" s="19" t="s">
        <v>51</v>
      </c>
      <c r="C1" s="19" t="s">
        <v>69</v>
      </c>
      <c r="D1" s="21" t="s">
        <v>70</v>
      </c>
      <c r="E1" s="21"/>
      <c r="F1" s="21" t="s">
        <v>71</v>
      </c>
      <c r="G1" s="21"/>
    </row>
    <row r="2" spans="1:7" ht="26" customHeight="1" x14ac:dyDescent="0.2">
      <c r="A2" s="18"/>
      <c r="B2" s="19"/>
      <c r="C2" s="19"/>
      <c r="D2" s="8" t="s">
        <v>72</v>
      </c>
      <c r="E2" s="8" t="s">
        <v>54</v>
      </c>
      <c r="F2" s="8" t="s">
        <v>72</v>
      </c>
      <c r="G2" s="8" t="s">
        <v>54</v>
      </c>
    </row>
    <row r="3" spans="1:7" ht="18" x14ac:dyDescent="0.2">
      <c r="A3" s="18" t="s">
        <v>6</v>
      </c>
      <c r="B3" s="6" t="s">
        <v>57</v>
      </c>
      <c r="C3" s="6">
        <v>384.68</v>
      </c>
      <c r="D3" s="6">
        <v>384.68</v>
      </c>
      <c r="E3" s="6"/>
      <c r="F3" s="6">
        <v>384.68</v>
      </c>
      <c r="G3" s="14"/>
    </row>
    <row r="4" spans="1:7" ht="18" x14ac:dyDescent="0.2">
      <c r="A4" s="18"/>
      <c r="B4" s="6" t="s">
        <v>58</v>
      </c>
      <c r="C4" s="6">
        <v>385.1</v>
      </c>
      <c r="D4" s="6">
        <v>385.18</v>
      </c>
      <c r="E4" s="11">
        <f>($D4-$C4)/$C4</f>
        <v>2.0773824980520404E-4</v>
      </c>
      <c r="F4" s="6">
        <v>385.25</v>
      </c>
      <c r="G4" s="11">
        <f>($F4-$C4)/$C4</f>
        <v>3.8950921838477604E-4</v>
      </c>
    </row>
    <row r="5" spans="1:7" ht="18" x14ac:dyDescent="0.2">
      <c r="A5" s="18"/>
      <c r="B5" s="6" t="s">
        <v>59</v>
      </c>
      <c r="C5" s="6">
        <v>0.37</v>
      </c>
      <c r="D5" s="6">
        <v>0.34</v>
      </c>
      <c r="E5" s="6"/>
      <c r="F5" s="6">
        <v>0.3</v>
      </c>
      <c r="G5" s="14"/>
    </row>
    <row r="6" spans="1:7" ht="18" x14ac:dyDescent="0.2">
      <c r="A6" s="18" t="s">
        <v>29</v>
      </c>
      <c r="B6" s="6" t="s">
        <v>57</v>
      </c>
      <c r="C6" s="6">
        <v>831.11</v>
      </c>
      <c r="D6" s="6">
        <v>831.11</v>
      </c>
      <c r="E6" s="6"/>
      <c r="F6" s="6">
        <v>831.11</v>
      </c>
      <c r="G6" s="14"/>
    </row>
    <row r="7" spans="1:7" ht="18" x14ac:dyDescent="0.2">
      <c r="A7" s="18"/>
      <c r="B7" s="6" t="s">
        <v>58</v>
      </c>
      <c r="C7" s="6">
        <v>835.48</v>
      </c>
      <c r="D7" s="6">
        <v>833.83</v>
      </c>
      <c r="E7" s="11">
        <f>($D7-$C7)/$C7</f>
        <v>-1.9749126250777722E-3</v>
      </c>
      <c r="F7" s="6">
        <v>834.32</v>
      </c>
      <c r="G7" s="11">
        <f>($F7-$C7)/$C7</f>
        <v>-1.3884234212667786E-3</v>
      </c>
    </row>
    <row r="8" spans="1:7" ht="18" x14ac:dyDescent="0.2">
      <c r="A8" s="18"/>
      <c r="B8" s="6" t="s">
        <v>59</v>
      </c>
      <c r="C8" s="6">
        <v>1.99</v>
      </c>
      <c r="D8" s="6">
        <v>1.93</v>
      </c>
      <c r="E8" s="6"/>
      <c r="F8" s="6">
        <v>1.74</v>
      </c>
      <c r="G8" s="14"/>
    </row>
    <row r="9" spans="1:7" ht="18" x14ac:dyDescent="0.2">
      <c r="A9" s="18" t="s">
        <v>33</v>
      </c>
      <c r="B9" s="6" t="s">
        <v>57</v>
      </c>
      <c r="C9" s="6">
        <v>1310.6300000000001</v>
      </c>
      <c r="D9" s="6">
        <v>1308.71</v>
      </c>
      <c r="E9" s="6"/>
      <c r="F9" s="6">
        <v>1308.8599999999999</v>
      </c>
      <c r="G9" s="14"/>
    </row>
    <row r="10" spans="1:7" ht="18" x14ac:dyDescent="0.2">
      <c r="A10" s="18"/>
      <c r="B10" s="6" t="s">
        <v>58</v>
      </c>
      <c r="C10" s="6">
        <v>1317.9</v>
      </c>
      <c r="D10" s="6">
        <v>1316.92</v>
      </c>
      <c r="E10" s="11">
        <f>($D10-$C10)/$C10</f>
        <v>-7.4360725396465451E-4</v>
      </c>
      <c r="F10" s="6">
        <v>1314.3</v>
      </c>
      <c r="G10" s="11">
        <f>($F10-$C10)/$C10</f>
        <v>-2.7316184839518446E-3</v>
      </c>
    </row>
    <row r="11" spans="1:7" ht="18" x14ac:dyDescent="0.2">
      <c r="A11" s="18"/>
      <c r="B11" s="6" t="s">
        <v>59</v>
      </c>
      <c r="C11" s="6">
        <v>4.3499999999999996</v>
      </c>
      <c r="D11" s="6">
        <v>4.0599999999999996</v>
      </c>
      <c r="E11" s="6"/>
      <c r="F11" s="6">
        <v>3.26</v>
      </c>
      <c r="G11" s="14"/>
    </row>
    <row r="12" spans="1:7" ht="18" x14ac:dyDescent="0.2">
      <c r="A12" s="18" t="s">
        <v>36</v>
      </c>
      <c r="B12" s="6" t="s">
        <v>57</v>
      </c>
      <c r="C12" s="6">
        <v>1190.03</v>
      </c>
      <c r="D12" s="6">
        <v>1189.6400000000001</v>
      </c>
      <c r="E12" s="6"/>
      <c r="F12" s="6">
        <v>1163.55</v>
      </c>
      <c r="G12" s="14"/>
    </row>
    <row r="13" spans="1:7" ht="18" x14ac:dyDescent="0.2">
      <c r="A13" s="18"/>
      <c r="B13" s="6" t="s">
        <v>58</v>
      </c>
      <c r="C13" s="6">
        <v>1196.4100000000001</v>
      </c>
      <c r="D13" s="6">
        <v>1193.03</v>
      </c>
      <c r="E13" s="11">
        <f>($D13-$C13)/$C13</f>
        <v>-2.8251184794511153E-3</v>
      </c>
      <c r="F13" s="6">
        <v>1182.5</v>
      </c>
      <c r="G13" s="11">
        <f>($F13-$C13)/$C13</f>
        <v>-1.162644912697159E-2</v>
      </c>
    </row>
    <row r="14" spans="1:7" ht="18" x14ac:dyDescent="0.2">
      <c r="A14" s="18"/>
      <c r="B14" s="6" t="s">
        <v>59</v>
      </c>
      <c r="C14" s="6">
        <v>8.77</v>
      </c>
      <c r="D14" s="6">
        <v>9.8699999999999992</v>
      </c>
      <c r="E14" s="6"/>
      <c r="F14" s="6">
        <v>16.760000000000002</v>
      </c>
      <c r="G14" s="14"/>
    </row>
    <row r="15" spans="1:7" ht="18" x14ac:dyDescent="0.2">
      <c r="A15" s="18" t="s">
        <v>38</v>
      </c>
      <c r="B15" s="6" t="s">
        <v>57</v>
      </c>
      <c r="C15" s="6">
        <v>11078.8</v>
      </c>
      <c r="D15" s="6">
        <v>11039.4</v>
      </c>
      <c r="E15" s="6"/>
      <c r="F15" s="6">
        <v>11045.58</v>
      </c>
      <c r="G15" s="14"/>
    </row>
    <row r="16" spans="1:7" ht="18" x14ac:dyDescent="0.2">
      <c r="A16" s="18"/>
      <c r="B16" s="6" t="s">
        <v>58</v>
      </c>
      <c r="C16" s="6">
        <v>11171.52</v>
      </c>
      <c r="D16" s="6">
        <v>11137.65</v>
      </c>
      <c r="E16" s="11">
        <f>($D16-$C16)/$C16</f>
        <v>-3.0318166194036977E-3</v>
      </c>
      <c r="F16" s="6">
        <v>11126.15</v>
      </c>
      <c r="G16" s="11">
        <f>($F16-$C16)/$C16</f>
        <v>-4.0612199593252126E-3</v>
      </c>
    </row>
    <row r="17" spans="1:7" ht="18" x14ac:dyDescent="0.2">
      <c r="A17" s="18"/>
      <c r="B17" s="6" t="s">
        <v>59</v>
      </c>
      <c r="C17" s="6">
        <v>65.67</v>
      </c>
      <c r="D17" s="6">
        <v>55.21</v>
      </c>
      <c r="E17" s="6"/>
      <c r="F17" s="6">
        <v>31.91</v>
      </c>
      <c r="G17" s="14"/>
    </row>
    <row r="18" spans="1:7" ht="18" x14ac:dyDescent="0.2">
      <c r="A18" s="18" t="s">
        <v>40</v>
      </c>
      <c r="B18" s="6" t="s">
        <v>57</v>
      </c>
      <c r="C18" s="6">
        <v>24504.6</v>
      </c>
      <c r="D18" s="6">
        <v>24411.94</v>
      </c>
      <c r="E18" s="6"/>
      <c r="F18" s="6">
        <v>24432.67</v>
      </c>
      <c r="G18" s="14"/>
    </row>
    <row r="19" spans="1:7" ht="18" x14ac:dyDescent="0.2">
      <c r="A19" s="18"/>
      <c r="B19" s="6" t="s">
        <v>58</v>
      </c>
      <c r="C19" s="6">
        <v>24571.46</v>
      </c>
      <c r="D19" s="6">
        <v>24516.04</v>
      </c>
      <c r="E19" s="11">
        <f>($D19-$C19)/$C19</f>
        <v>-2.255462231385447E-3</v>
      </c>
      <c r="F19" s="6">
        <v>24534.33</v>
      </c>
      <c r="G19" s="11">
        <f>($F19-$C19)/$C19</f>
        <v>-1.5111027183568816E-3</v>
      </c>
    </row>
    <row r="20" spans="1:7" ht="18" x14ac:dyDescent="0.2">
      <c r="A20" s="18"/>
      <c r="B20" s="6" t="s">
        <v>59</v>
      </c>
      <c r="C20" s="6">
        <v>33</v>
      </c>
      <c r="D20" s="6">
        <v>78.81</v>
      </c>
      <c r="E20" s="6"/>
      <c r="F20" s="6">
        <v>61.36</v>
      </c>
      <c r="G20" s="14"/>
    </row>
    <row r="21" spans="1:7" ht="18" x14ac:dyDescent="0.2">
      <c r="A21" s="18" t="s">
        <v>42</v>
      </c>
      <c r="B21" s="6" t="s">
        <v>57</v>
      </c>
      <c r="C21" s="6">
        <v>69015.41</v>
      </c>
      <c r="D21" s="6">
        <v>68799.94</v>
      </c>
      <c r="E21" s="6"/>
      <c r="F21" s="6">
        <v>68691.69</v>
      </c>
      <c r="G21" s="14"/>
    </row>
    <row r="22" spans="1:7" ht="18" x14ac:dyDescent="0.2">
      <c r="A22" s="18"/>
      <c r="B22" s="6" t="s">
        <v>58</v>
      </c>
      <c r="C22" s="6">
        <v>69181.119999999995</v>
      </c>
      <c r="D22" s="6">
        <v>68948.509999999995</v>
      </c>
      <c r="E22" s="11">
        <f>($D22-$C22)/$C22</f>
        <v>-3.3623335383989243E-3</v>
      </c>
      <c r="F22" s="6">
        <v>68913.070000000007</v>
      </c>
      <c r="G22" s="11">
        <f>($F22-$C22)/$C22</f>
        <v>-3.8746120328781663E-3</v>
      </c>
    </row>
    <row r="23" spans="1:7" ht="18" x14ac:dyDescent="0.2">
      <c r="A23" s="18"/>
      <c r="B23" s="6" t="s">
        <v>59</v>
      </c>
      <c r="C23" s="6">
        <v>89.5</v>
      </c>
      <c r="D23" s="6">
        <v>81.45</v>
      </c>
      <c r="E23" s="6"/>
      <c r="F23" s="6">
        <v>153.97</v>
      </c>
      <c r="G23" s="14"/>
    </row>
    <row r="24" spans="1:7" ht="18" x14ac:dyDescent="0.2">
      <c r="A24" s="18" t="s">
        <v>46</v>
      </c>
      <c r="B24" s="6" t="s">
        <v>57</v>
      </c>
      <c r="C24" s="6">
        <v>74409.5</v>
      </c>
      <c r="D24" s="6">
        <v>73723.3</v>
      </c>
      <c r="E24" s="6"/>
      <c r="F24" s="6">
        <v>73795.070000000007</v>
      </c>
      <c r="G24" s="14"/>
    </row>
    <row r="25" spans="1:7" ht="18" x14ac:dyDescent="0.2">
      <c r="A25" s="18"/>
      <c r="B25" s="6" t="s">
        <v>58</v>
      </c>
      <c r="C25" s="6">
        <v>74582.92</v>
      </c>
      <c r="D25" s="6">
        <v>73981.14</v>
      </c>
      <c r="E25" s="11">
        <f>($D25-$C25)/$C25</f>
        <v>-8.0686033746063951E-3</v>
      </c>
      <c r="F25" s="6">
        <v>73946.399999999994</v>
      </c>
      <c r="G25" s="11">
        <f>($F25-$C25)/$C25</f>
        <v>-8.5343936654666257E-3</v>
      </c>
    </row>
    <row r="26" spans="1:7" ht="18" x14ac:dyDescent="0.2">
      <c r="A26" s="18"/>
      <c r="B26" s="6" t="s">
        <v>59</v>
      </c>
      <c r="C26" s="6">
        <v>144.79</v>
      </c>
      <c r="D26" s="6">
        <v>148.75</v>
      </c>
      <c r="E26" s="6"/>
      <c r="F26" s="6">
        <v>142.51</v>
      </c>
      <c r="G26" s="14"/>
    </row>
    <row r="27" spans="1:7" ht="18" x14ac:dyDescent="0.2">
      <c r="A27" s="14"/>
      <c r="B27" s="14"/>
      <c r="C27" s="14"/>
      <c r="D27" s="17"/>
      <c r="E27" s="17"/>
      <c r="F27" s="14"/>
      <c r="G27" s="14"/>
    </row>
  </sheetData>
  <mergeCells count="13">
    <mergeCell ref="A24:A26"/>
    <mergeCell ref="F1:G1"/>
    <mergeCell ref="A18:A20"/>
    <mergeCell ref="A21:A23"/>
    <mergeCell ref="A9:A11"/>
    <mergeCell ref="A12:A14"/>
    <mergeCell ref="A15:A17"/>
    <mergeCell ref="A6:A8"/>
    <mergeCell ref="A1:A2"/>
    <mergeCell ref="B1:B2"/>
    <mergeCell ref="C1:C2"/>
    <mergeCell ref="A3:A5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Basic info</vt:lpstr>
      <vt:lpstr>Instance-specific</vt:lpstr>
      <vt:lpstr>Predicted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秦英豪</dc:creator>
  <cp:lastModifiedBy>Yinghao Qin</cp:lastModifiedBy>
  <dcterms:created xsi:type="dcterms:W3CDTF">2025-12-28T05:05:28Z</dcterms:created>
  <dcterms:modified xsi:type="dcterms:W3CDTF">2026-01-18T16:31:57Z</dcterms:modified>
</cp:coreProperties>
</file>